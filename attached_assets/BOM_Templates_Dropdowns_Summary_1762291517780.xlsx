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patton\Downloads\"/>
    </mc:Choice>
  </mc:AlternateContent>
  <xr:revisionPtr revIDLastSave="0" documentId="13_ncr:1_{473B3B44-7488-41EF-AF58-718145327990}" xr6:coauthVersionLast="47" xr6:coauthVersionMax="47" xr10:uidLastSave="{00000000-0000-0000-0000-000000000000}"/>
  <bookViews>
    <workbookView xWindow="-28908" yWindow="-108" windowWidth="29016" windowHeight="15696" xr2:uid="{00000000-000D-0000-FFFF-FFFF00000000}"/>
  </bookViews>
  <sheets>
    <sheet name="Hollow Metal" sheetId="1" r:id="rId1"/>
    <sheet name="Lists" sheetId="2" r:id="rId2"/>
    <sheet name="Catalog" sheetId="3" r:id="rId3"/>
    <sheet name="Wood" sheetId="4" r:id="rId4"/>
    <sheet name="AlumGlass Storefront" sheetId="5" r:id="rId5"/>
    <sheet name="FireRated NGP_TGP" sheetId="6" r:id="rId6"/>
    <sheet name="Automated Opening" sheetId="7" r:id="rId7"/>
    <sheet name="Electrified Panic" sheetId="8" r:id="rId8"/>
    <sheet name="SUMMARY" sheetId="9" r:id="rId9"/>
  </sheets>
  <definedNames>
    <definedName name="Accessories">Lists!$W$2:$W$5</definedName>
    <definedName name="Arm_Track_Bracket">Lists!$M$2:$M$4</definedName>
    <definedName name="Coordinator_Astragal">Lists!$T$2:$T$4</definedName>
    <definedName name="Door">Lists!$H$2:$H$4</definedName>
    <definedName name="Exit_Device">Lists!$K$2:$K$7</definedName>
    <definedName name="Fasteners">Lists!$X$2:$X$2</definedName>
    <definedName name="Finishes">Lists!$C$2:$C$15</definedName>
    <definedName name="FireRatings">Lists!$E$2:$E$8</definedName>
    <definedName name="Frame">Lists!$G$2:$G$4</definedName>
    <definedName name="Gasketing_Seals_Threshold">Lists!$U$2:$U$3</definedName>
    <definedName name="Handing">Lists!$D$2:$D$9</definedName>
    <definedName name="Hinges">Lists!$I$2:$I$4</definedName>
    <definedName name="ItemCategories">Lists!$A$2:$A$20</definedName>
    <definedName name="Lock_Lever_Trim">Lists!$J$2:$J$6</definedName>
    <definedName name="Maglock_Strike">Lists!$S$2:$S$5</definedName>
    <definedName name="Operator">Lists!$L$2:$L$4</definedName>
    <definedName name="Other">Lists!$Y$2:$Y$25</definedName>
    <definedName name="Power_Supply">Lists!$N$2:$N$4</definedName>
    <definedName name="Power_Transfer">Lists!$O$2:$O$4</definedName>
    <definedName name="Reader_Keypad__By_Others_">Lists!$P$2:$P$2</definedName>
    <definedName name="Relay_Timer">Lists!$Q$2:$Q$5</definedName>
    <definedName name="Sensor_Plate_Push">Lists!$R$2:$R$3</definedName>
    <definedName name="Vision_Lite_Glazing">Lists!$V$2:$V$5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9" l="1"/>
  <c r="E27" i="9"/>
  <c r="E26" i="9"/>
  <c r="E25" i="9"/>
  <c r="E24" i="9"/>
  <c r="E23" i="9"/>
  <c r="B23" i="9"/>
  <c r="E22" i="9"/>
  <c r="B22" i="9"/>
  <c r="E21" i="9"/>
  <c r="B21" i="9"/>
  <c r="E20" i="9"/>
  <c r="B20" i="9"/>
  <c r="E19" i="9"/>
  <c r="B19" i="9"/>
  <c r="E18" i="9"/>
  <c r="B18" i="9"/>
  <c r="E17" i="9"/>
  <c r="B17" i="9"/>
  <c r="E16" i="9"/>
  <c r="B16" i="9"/>
  <c r="E15" i="9"/>
  <c r="B15" i="9"/>
  <c r="E14" i="9"/>
  <c r="B14" i="9"/>
  <c r="E13" i="9"/>
  <c r="B13" i="9"/>
  <c r="E12" i="9"/>
  <c r="B12" i="9"/>
  <c r="E11" i="9"/>
  <c r="B11" i="9"/>
  <c r="E10" i="9"/>
  <c r="B10" i="9"/>
  <c r="E9" i="9"/>
  <c r="B9" i="9"/>
  <c r="E8" i="9"/>
  <c r="B8" i="9"/>
  <c r="E7" i="9"/>
  <c r="B7" i="9"/>
  <c r="E6" i="9"/>
  <c r="B6" i="9"/>
  <c r="E5" i="9"/>
  <c r="B5" i="9"/>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<sst xmlns="http://schemas.openxmlformats.org/spreadsheetml/2006/main" count="351" uniqueCount="123">
  <si>
    <t>Item Category</t>
  </si>
  <si>
    <t>Manufacturer</t>
  </si>
  <si>
    <t>Model / Part #</t>
  </si>
  <si>
    <t>Description</t>
  </si>
  <si>
    <t>Qty</t>
  </si>
  <si>
    <t>Size/Spec</t>
  </si>
  <si>
    <t>Finish</t>
  </si>
  <si>
    <t>Handing</t>
  </si>
  <si>
    <t>Fire/Smoke Rating</t>
  </si>
  <si>
    <t>Notes</t>
  </si>
  <si>
    <t>ItemCategories</t>
  </si>
  <si>
    <t>Manufacturers</t>
  </si>
  <si>
    <t>Finishes</t>
  </si>
  <si>
    <t>FireRatings</t>
  </si>
  <si>
    <t>Frame</t>
  </si>
  <si>
    <t>Door</t>
  </si>
  <si>
    <t>Hinges</t>
  </si>
  <si>
    <t>Lock/Lever/Trim</t>
  </si>
  <si>
    <t>Exit Device</t>
  </si>
  <si>
    <t>Operator</t>
  </si>
  <si>
    <t>Arm/Track/Bracket</t>
  </si>
  <si>
    <t>Power Supply</t>
  </si>
  <si>
    <t>Power Transfer</t>
  </si>
  <si>
    <t>Reader/Keypad (By Others)</t>
  </si>
  <si>
    <t>Relay/Timer</t>
  </si>
  <si>
    <t>Sensor/Plate/Push</t>
  </si>
  <si>
    <t>Maglock/Strike</t>
  </si>
  <si>
    <t>Coordinator/Astragal</t>
  </si>
  <si>
    <t>Gasketing/Seals/Threshold</t>
  </si>
  <si>
    <t>Vision Lite/Glazing</t>
  </si>
  <si>
    <t>Accessories</t>
  </si>
  <si>
    <t>Fasteners</t>
  </si>
  <si>
    <t>Other</t>
  </si>
  <si>
    <t>NGP</t>
  </si>
  <si>
    <t>626 (US26D) Satin Chrome</t>
  </si>
  <si>
    <t>LH</t>
  </si>
  <si>
    <t>Non-Rated</t>
  </si>
  <si>
    <t>ASSA ABLOY</t>
  </si>
  <si>
    <t>Jeld‑Wen</t>
  </si>
  <si>
    <t>Hager</t>
  </si>
  <si>
    <t>Schlage</t>
  </si>
  <si>
    <t>Von Duprin</t>
  </si>
  <si>
    <t>Norton / Rixson</t>
  </si>
  <si>
    <t>Command Access</t>
  </si>
  <si>
    <t>By Others</t>
  </si>
  <si>
    <t>SDC</t>
  </si>
  <si>
    <t>BEA</t>
  </si>
  <si>
    <t>Securitron</t>
  </si>
  <si>
    <t>TGP (FireLite)</t>
  </si>
  <si>
    <t>625 (US26) Bright Chrome</t>
  </si>
  <si>
    <t>LHR</t>
  </si>
  <si>
    <t>20 Min</t>
  </si>
  <si>
    <t>Allegion</t>
  </si>
  <si>
    <t>Yale</t>
  </si>
  <si>
    <t>DORMAKABA</t>
  </si>
  <si>
    <t>HES</t>
  </si>
  <si>
    <t>Pemko</t>
  </si>
  <si>
    <t>LCN</t>
  </si>
  <si>
    <t>630 (US32D) Satin Stainless</t>
  </si>
  <si>
    <t>RH</t>
  </si>
  <si>
    <t>45 Min (S)</t>
  </si>
  <si>
    <t>Sargent</t>
  </si>
  <si>
    <t>CRL (C.R. Laurence)</t>
  </si>
  <si>
    <t>629 (US32) Bright Stainless</t>
  </si>
  <si>
    <t>RHR</t>
  </si>
  <si>
    <t>60 Min (S)</t>
  </si>
  <si>
    <t>Corbin Russwin</t>
  </si>
  <si>
    <t>Adams Rite</t>
  </si>
  <si>
    <t>FHC</t>
  </si>
  <si>
    <t>605 (US3) Bright Brass</t>
  </si>
  <si>
    <t>LHRB</t>
  </si>
  <si>
    <t>90 Min (S)</t>
  </si>
  <si>
    <t>606 (US4) Satin Brass</t>
  </si>
  <si>
    <t>RHRB</t>
  </si>
  <si>
    <t>3 Hr (S)</t>
  </si>
  <si>
    <t>612 (US10) Satin Bronze</t>
  </si>
  <si>
    <t>Pair (LH Active)</t>
  </si>
  <si>
    <t>Smoke Only (S)</t>
  </si>
  <si>
    <t>613 (US10B) Oil-Rubbed Bronze</t>
  </si>
  <si>
    <t>Pair (RH Active)</t>
  </si>
  <si>
    <t>619 (US15) Satin Nickel</t>
  </si>
  <si>
    <t>622 (US19) Matte Black</t>
  </si>
  <si>
    <t>689 Aluminum Painted</t>
  </si>
  <si>
    <t>690 Statuary Bronze Painted</t>
  </si>
  <si>
    <t>313 Dark Bronze Anodized</t>
  </si>
  <si>
    <t>628 Satin Aluminum</t>
  </si>
  <si>
    <t>Aluminum Storefront (Generic)</t>
  </si>
  <si>
    <t>Manufacturer (optional)</t>
  </si>
  <si>
    <t>Typical Category</t>
  </si>
  <si>
    <t>NGP 1815</t>
  </si>
  <si>
    <t>Vision Lite Kit, 1-3/4" door, 5/16" glass, fire/smoke rated</t>
  </si>
  <si>
    <t>NGP 425</t>
  </si>
  <si>
    <t>Perimeter Gasketing Set, smoke &amp; draft control</t>
  </si>
  <si>
    <t>TGP FireLite-NT 5/16</t>
  </si>
  <si>
    <t>FireLite-NT Glass, 5/16", fire-protective glazing</t>
  </si>
  <si>
    <t>VD 99 QEL</t>
  </si>
  <si>
    <t>Von Duprin 99 Series Exit, Quiet Latch Retraction (QEL)</t>
  </si>
  <si>
    <t>CA MLRK1-YAL6</t>
  </si>
  <si>
    <t>Motor Latch Retraction Kit for Yale 600 Series</t>
  </si>
  <si>
    <t>CA PS210</t>
  </si>
  <si>
    <t>Power Supply, 24VDC, UL Listed</t>
  </si>
  <si>
    <t>BEA 10TD900</t>
  </si>
  <si>
    <t>Touchless Wave Plate, 900 MHz Tx</t>
  </si>
  <si>
    <t>BEA 10MS31</t>
  </si>
  <si>
    <t>Microwave Motion Sensor for Auto Operators</t>
  </si>
  <si>
    <t>HES 9600</t>
  </si>
  <si>
    <t>Surface Mount Electric Strike, 3,000 lbs static</t>
  </si>
  <si>
    <t>Securitron M680E</t>
  </si>
  <si>
    <t>MiniLine Magnalock, 1200 lbs holding force</t>
  </si>
  <si>
    <t>LCN 4040XP</t>
  </si>
  <si>
    <t>Surface Door Closer, adjustable spring</t>
  </si>
  <si>
    <t>Norton P7705</t>
  </si>
  <si>
    <t>Power Operator, low energy ADA</t>
  </si>
  <si>
    <t>Dorma ED250</t>
  </si>
  <si>
    <t>Low Energy Swing Operator</t>
  </si>
  <si>
    <t>CRL DR2TBR</t>
  </si>
  <si>
    <t>Bottom Rail, 3-3/8" height, polished</t>
  </si>
  <si>
    <t>FHC GRA-338</t>
  </si>
  <si>
    <t>Glass Door Bottom Rail, 3-3/8"</t>
  </si>
  <si>
    <t>BOM Summary</t>
  </si>
  <si>
    <t>Totals by Item Category</t>
  </si>
  <si>
    <t>Totals by Manufacturer</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</si>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</sst>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Hollow_Metal" displayName="Tbl_Hollow_Metal" ref="A1:J51">
  <autoFilter ref="A1:J51" xr:uid="{00000000-0009-0000-0100-000001000000}"/>
  <tableColumns count="10">
    <tableColumn id="1" xr3:uid="{00000000-0010-0000-0000-000001000000}" name="Item Category"/>
    <tableColumn id="2" xr3:uid="{00000000-0010-0000-0000-000002000000}" name="Manufacturer"/>
    <tableColumn id="3" xr3:uid="{00000000-0010-0000-0000-000003000000}" name="Model / Part #"/>
    <tableColumn id="4" xr3:uid="{00000000-0010-0000-0000-000004000000}" name="Description"/>
    <tableColumn id="5" xr3:uid="{00000000-0010-0000-0000-000005000000}" name="Qty"/>
    <tableColumn id="6" xr3:uid="{00000000-0010-0000-0000-000006000000}" name="Size/Spec"/>
    <tableColumn id="7" xr3:uid="{00000000-0010-0000-0000-000007000000}" name="Finish"/>
    <tableColumn id="8" xr3:uid="{00000000-0010-0000-0000-000008000000}" name="Handing"/>
    <tableColumn id="9" xr3:uid="{00000000-0010-0000-0000-000009000000}" name="Fire/Smoke Rating"/>
    <tableColumn id="10" xr3:uid="{00000000-0010-0000-0000-00000A000000}" name="Note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alogTbl" displayName="CatalogTbl" ref="A1:D16">
  <autoFilter ref="A1:D16" xr:uid="{00000000-0009-0000-0100-000002000000}"/>
  <tableColumns count="4">
    <tableColumn id="1" xr3:uid="{00000000-0010-0000-0100-000001000000}" name="Model / Part #"/>
    <tableColumn id="2" xr3:uid="{00000000-0010-0000-0100-000002000000}" name="Description"/>
    <tableColumn id="3" xr3:uid="{00000000-0010-0000-0100-000003000000}" name="Manufacturer (optional)"/>
    <tableColumn id="4" xr3:uid="{00000000-0010-0000-0100-000004000000}" name="Typical 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Wood" displayName="Tbl_Wood" ref="A1:J51">
  <autoFilter ref="A1:J51" xr:uid="{00000000-0009-0000-0100-000003000000}"/>
  <tableColumns count="10">
    <tableColumn id="1" xr3:uid="{00000000-0010-0000-0200-000001000000}" name="Item Category"/>
    <tableColumn id="2" xr3:uid="{00000000-0010-0000-0200-000002000000}" name="Manufacturer"/>
    <tableColumn id="3" xr3:uid="{00000000-0010-0000-0200-000003000000}" name="Model / Part #"/>
    <tableColumn id="4" xr3:uid="{00000000-0010-0000-0200-000004000000}" name="Description"/>
    <tableColumn id="5" xr3:uid="{00000000-0010-0000-0200-000005000000}" name="Qty"/>
    <tableColumn id="6" xr3:uid="{00000000-0010-0000-0200-000006000000}" name="Size/Spec"/>
    <tableColumn id="7" xr3:uid="{00000000-0010-0000-0200-000007000000}" name="Finish"/>
    <tableColumn id="8" xr3:uid="{00000000-0010-0000-0200-000008000000}" name="Handing"/>
    <tableColumn id="9" xr3:uid="{00000000-0010-0000-0200-000009000000}" name="Fire/Smoke Rating"/>
    <tableColumn id="10" xr3:uid="{00000000-0010-0000-0200-00000A000000}" name="Not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AlumGlass_Storefront" displayName="Tbl_AlumGlass_Storefront" ref="A1:J51">
  <autoFilter ref="A1:J51" xr:uid="{00000000-0009-0000-0100-000004000000}"/>
  <tableColumns count="10">
    <tableColumn id="1" xr3:uid="{00000000-0010-0000-0300-000001000000}" name="Item Category"/>
    <tableColumn id="2" xr3:uid="{00000000-0010-0000-0300-000002000000}" name="Manufacturer"/>
    <tableColumn id="3" xr3:uid="{00000000-0010-0000-0300-000003000000}" name="Model / Part #"/>
    <tableColumn id="4" xr3:uid="{00000000-0010-0000-0300-000004000000}" name="Description"/>
    <tableColumn id="5" xr3:uid="{00000000-0010-0000-0300-000005000000}" name="Qty"/>
    <tableColumn id="6" xr3:uid="{00000000-0010-0000-0300-000006000000}" name="Size/Spec"/>
    <tableColumn id="7" xr3:uid="{00000000-0010-0000-0300-000007000000}" name="Finish"/>
    <tableColumn id="8" xr3:uid="{00000000-0010-0000-0300-000008000000}" name="Handing"/>
    <tableColumn id="9" xr3:uid="{00000000-0010-0000-0300-000009000000}" name="Fire/Smoke Rating"/>
    <tableColumn id="10" xr3:uid="{00000000-0010-0000-0300-00000A000000}" name="Note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ireRated_NGP_TGP" displayName="Tbl_FireRated_NGP_TGP" ref="A1:J51">
  <autoFilter ref="A1:J51" xr:uid="{00000000-0009-0000-0100-000005000000}"/>
  <tableColumns count="10">
    <tableColumn id="1" xr3:uid="{00000000-0010-0000-0400-000001000000}" name="Item Category"/>
    <tableColumn id="2" xr3:uid="{00000000-0010-0000-0400-000002000000}" name="Manufacturer"/>
    <tableColumn id="3" xr3:uid="{00000000-0010-0000-0400-000003000000}" name="Model / Part #"/>
    <tableColumn id="4" xr3:uid="{00000000-0010-0000-0400-000004000000}" name="Description"/>
    <tableColumn id="5" xr3:uid="{00000000-0010-0000-0400-000005000000}" name="Qty"/>
    <tableColumn id="6" xr3:uid="{00000000-0010-0000-0400-000006000000}" name="Size/Spec"/>
    <tableColumn id="7" xr3:uid="{00000000-0010-0000-0400-000007000000}" name="Finish"/>
    <tableColumn id="8" xr3:uid="{00000000-0010-0000-0400-000008000000}" name="Handing"/>
    <tableColumn id="9" xr3:uid="{00000000-0010-0000-0400-000009000000}" name="Fire/Smoke Rating"/>
    <tableColumn id="10" xr3:uid="{00000000-0010-0000-0400-00000A000000}" name="Notes"/>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Automated_Opening" displayName="Tbl_Automated_Opening" ref="A1:J51">
  <autoFilter ref="A1:J51" xr:uid="{00000000-0009-0000-0100-000006000000}"/>
  <tableColumns count="10">
    <tableColumn id="1" xr3:uid="{00000000-0010-0000-0500-000001000000}" name="Item Category"/>
    <tableColumn id="2" xr3:uid="{00000000-0010-0000-0500-000002000000}" name="Manufacturer"/>
    <tableColumn id="3" xr3:uid="{00000000-0010-0000-0500-000003000000}" name="Model / Part #"/>
    <tableColumn id="4" xr3:uid="{00000000-0010-0000-0500-000004000000}" name="Description"/>
    <tableColumn id="5" xr3:uid="{00000000-0010-0000-0500-000005000000}" name="Qty"/>
    <tableColumn id="6" xr3:uid="{00000000-0010-0000-0500-000006000000}" name="Size/Spec"/>
    <tableColumn id="7" xr3:uid="{00000000-0010-0000-0500-000007000000}" name="Finish"/>
    <tableColumn id="8" xr3:uid="{00000000-0010-0000-0500-000008000000}" name="Handing"/>
    <tableColumn id="9" xr3:uid="{00000000-0010-0000-0500-000009000000}" name="Fire/Smoke Rating"/>
    <tableColumn id="10" xr3:uid="{00000000-0010-0000-0500-00000A000000}" name="Note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Electrified_Panic" displayName="Tbl_Electrified_Panic" ref="A1:J51">
  <autoFilter ref="A1:J51" xr:uid="{00000000-0009-0000-0100-000007000000}"/>
  <tableColumns count="10">
    <tableColumn id="1" xr3:uid="{00000000-0010-0000-0600-000001000000}" name="Item Category"/>
    <tableColumn id="2" xr3:uid="{00000000-0010-0000-0600-000002000000}" name="Manufacturer"/>
    <tableColumn id="3" xr3:uid="{00000000-0010-0000-0600-000003000000}" name="Model / Part #"/>
    <tableColumn id="4" xr3:uid="{00000000-0010-0000-0600-000004000000}" name="Description"/>
    <tableColumn id="5" xr3:uid="{00000000-0010-0000-0600-000005000000}" name="Qty"/>
    <tableColumn id="6" xr3:uid="{00000000-0010-0000-0600-000006000000}" name="Size/Spec"/>
    <tableColumn id="7" xr3:uid="{00000000-0010-0000-0600-000007000000}" name="Finish"/>
    <tableColumn id="8" xr3:uid="{00000000-0010-0000-0600-000008000000}" name="Handing"/>
    <tableColumn id="9" xr3:uid="{00000000-0010-0000-0600-000009000000}" name="Fire/Smoke Rating"/>
    <tableColumn id="10" xr3:uid="{00000000-0010-0000-0600-00000A000000}" name="Not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workbookViewId="0">
      <pane ySplit="1" topLeftCell="A2" activePane="bottomLeft" state="frozen"/>
      <selection pane="bottomLeft"/>
    </sheetView>
  </sheetViews>
  <sheetFormatPr defaultRowHeight="14.4" x14ac:dyDescent="0.3"/>
  <cols>
    <col min="1" max="10" width="20" customWidth="1"/>
  </cols>
  <sheetData>
    <row r="1" spans="1:10" ht="18" customHeight="1" x14ac:dyDescent="0.3">
      <c r="A1" t="s">
        <v>0</v>
      </c>
      <c r="B1" t="s">
        <v>1</v>
      </c>
      <c r="C1" t="s">
        <v>2</v>
      </c>
      <c r="D1" t="s">
        <v>3</v>
      </c>
      <c r="E1" t="s">
        <v>4</v>
      </c>
      <c r="F1" t="s">
        <v>5</v>
      </c>
      <c r="G1" t="s">
        <v>6</v>
      </c>
      <c r="H1" t="s">
        <v>7</v>
      </c>
      <c r="I1" t="s">
        <v>8</v>
      </c>
      <c r="J1" t="s">
        <v>9</v>
      </c>
    </row>
    <row r="2" spans="1:10" ht="18" customHeight="1" x14ac:dyDescent="0.3">
      <c r="D2" t="str">
        <f>IFERROR(VLOOKUP(C2,Catalog!$A:$B,2,FALSE),"")</f>
        <v/>
      </c>
    </row>
    <row r="3" spans="1:10" ht="18" customHeight="1" x14ac:dyDescent="0.3">
      <c r="D3" t="str">
        <f>IFERROR(VLOOKUP(C3,Catalog!$A:$B,2,FALSE),"")</f>
        <v/>
      </c>
    </row>
    <row r="4" spans="1:10" ht="18" customHeight="1" x14ac:dyDescent="0.3">
      <c r="D4" t="str">
        <f>IFERROR(VLOOKUP(C4,Catalog!$A:$B,2,FALSE),"")</f>
        <v/>
      </c>
    </row>
    <row r="5" spans="1:10" ht="18" customHeight="1" x14ac:dyDescent="0.3">
      <c r="D5" t="str">
        <f>IFERROR(VLOOKUP(C5,Catalog!$A:$B,2,FALSE),"")</f>
        <v/>
      </c>
    </row>
    <row r="6" spans="1:10" ht="18" customHeight="1" x14ac:dyDescent="0.3">
      <c r="D6" t="str">
        <f>IFERROR(VLOOKUP(C6,Catalog!$A:$B,2,FALSE),"")</f>
        <v/>
      </c>
    </row>
    <row r="7" spans="1:10" ht="18" customHeight="1" x14ac:dyDescent="0.3">
      <c r="D7" t="str">
        <f>IFERROR(VLOOKUP(C7,Catalog!$A:$B,2,FALSE),"")</f>
        <v/>
      </c>
    </row>
    <row r="8" spans="1:10" ht="18" customHeight="1" x14ac:dyDescent="0.3">
      <c r="D8" t="str">
        <f>IFERROR(VLOOKUP(C8,Catalog!$A:$B,2,FALSE),"")</f>
        <v/>
      </c>
    </row>
    <row r="9" spans="1:10" ht="18" customHeight="1" x14ac:dyDescent="0.3">
      <c r="D9" t="str">
        <f>IFERROR(VLOOKUP(C9,Catalog!$A:$B,2,FALSE),"")</f>
        <v/>
      </c>
    </row>
    <row r="10" spans="1:10" ht="18" customHeight="1" x14ac:dyDescent="0.3">
      <c r="D10" t="str">
        <f>IFERROR(VLOOKUP(C10,Catalog!$A:$B,2,FALSE),"")</f>
        <v/>
      </c>
    </row>
    <row r="11" spans="1:10" ht="18" customHeight="1" x14ac:dyDescent="0.3">
      <c r="D11" t="str">
        <f>IFERROR(VLOOKUP(C11,Catalog!$A:$B,2,FALSE),"")</f>
        <v/>
      </c>
    </row>
    <row r="12" spans="1:10" ht="18" customHeight="1" x14ac:dyDescent="0.3">
      <c r="D12" t="str">
        <f>IFERROR(VLOOKUP(C12,Catalog!$A:$B,2,FALSE),"")</f>
        <v/>
      </c>
    </row>
    <row r="13" spans="1:10" ht="18" customHeight="1" x14ac:dyDescent="0.3">
      <c r="D13" t="str">
        <f>IFERROR(VLOOKUP(C13,Catalog!$A:$B,2,FALSE),"")</f>
        <v/>
      </c>
    </row>
    <row r="14" spans="1:10" ht="18" customHeight="1" x14ac:dyDescent="0.3">
      <c r="D14" t="str">
        <f>IFERROR(VLOOKUP(C14,Catalog!$A:$B,2,FALSE),"")</f>
        <v/>
      </c>
    </row>
    <row r="15" spans="1:10" ht="18" customHeight="1" x14ac:dyDescent="0.3">
      <c r="D15" t="str">
        <f>IFERROR(VLOOKUP(C15,Catalog!$A:$B,2,FALSE),"")</f>
        <v/>
      </c>
    </row>
    <row r="16" spans="1:10" ht="18" customHeight="1" x14ac:dyDescent="0.3">
      <c r="D16" t="str">
        <f>IFERROR(VLOOKUP(C16,Catalog!$A:$B,2,FALSE),"")</f>
        <v/>
      </c>
    </row>
    <row r="17" spans="4:4" ht="18" customHeight="1" x14ac:dyDescent="0.3">
      <c r="D17" t="str">
        <f>IFERROR(VLOOKUP(C17,Catalog!$A:$B,2,FALSE),"")</f>
        <v/>
      </c>
    </row>
    <row r="18" spans="4:4" ht="18" customHeight="1" x14ac:dyDescent="0.3">
      <c r="D18" t="str">
        <f>IFERROR(VLOOKUP(C18,Catalog!$A:$B,2,FALSE),"")</f>
        <v/>
      </c>
    </row>
    <row r="19" spans="4:4" ht="18" customHeight="1" x14ac:dyDescent="0.3">
      <c r="D19" t="str">
        <f>IFERROR(VLOOKUP(C19,Catalog!$A:$B,2,FALSE),"")</f>
        <v/>
      </c>
    </row>
    <row r="20" spans="4:4" ht="18" customHeight="1" x14ac:dyDescent="0.3">
      <c r="D20" t="str">
        <f>IFERROR(VLOOKUP(C20,Catalog!$A:$B,2,FALSE),"")</f>
        <v/>
      </c>
    </row>
    <row r="21" spans="4:4" ht="18" customHeight="1" x14ac:dyDescent="0.3">
      <c r="D21" t="str">
        <f>IFERROR(VLOOKUP(C21,Catalog!$A:$B,2,FALSE),"")</f>
        <v/>
      </c>
    </row>
    <row r="22" spans="4:4" ht="18" customHeight="1" x14ac:dyDescent="0.3">
      <c r="D22" t="str">
        <f>IFERROR(VLOOKUP(C22,Catalog!$A:$B,2,FALSE),"")</f>
        <v/>
      </c>
    </row>
    <row r="23" spans="4:4" ht="18" customHeight="1" x14ac:dyDescent="0.3">
      <c r="D23" t="str">
        <f>IFERROR(VLOOKUP(C23,Catalog!$A:$B,2,FALSE),"")</f>
        <v/>
      </c>
    </row>
    <row r="24" spans="4:4" ht="18" customHeight="1" x14ac:dyDescent="0.3">
      <c r="D24" t="str">
        <f>IFERROR(VLOOKUP(C24,Catalog!$A:$B,2,FALSE),"")</f>
        <v/>
      </c>
    </row>
    <row r="25" spans="4:4" ht="18" customHeight="1" x14ac:dyDescent="0.3">
      <c r="D25" t="str">
        <f>IFERROR(VLOOKUP(C25,Catalog!$A:$B,2,FALSE),"")</f>
        <v/>
      </c>
    </row>
    <row r="26" spans="4:4" ht="18" customHeight="1" x14ac:dyDescent="0.3">
      <c r="D26" t="str">
        <f>IFERROR(VLOOKUP(C26,Catalog!$A:$B,2,FALSE),"")</f>
        <v/>
      </c>
    </row>
    <row r="27" spans="4:4" ht="18" customHeight="1" x14ac:dyDescent="0.3">
      <c r="D27" t="str">
        <f>IFERROR(VLOOKUP(C27,Catalog!$A:$B,2,FALSE),"")</f>
        <v/>
      </c>
    </row>
    <row r="28" spans="4:4" ht="18" customHeight="1" x14ac:dyDescent="0.3">
      <c r="D28" t="str">
        <f>IFERROR(VLOOKUP(C28,Catalog!$A:$B,2,FALSE),"")</f>
        <v/>
      </c>
    </row>
    <row r="29" spans="4:4" ht="18" customHeight="1" x14ac:dyDescent="0.3">
      <c r="D29" t="str">
        <f>IFERROR(VLOOKUP(C29,Catalog!$A:$B,2,FALSE),"")</f>
        <v/>
      </c>
    </row>
    <row r="30" spans="4:4" ht="18" customHeight="1" x14ac:dyDescent="0.3">
      <c r="D30" t="str">
        <f>IFERROR(VLOOKUP(C30,Catalog!$A:$B,2,FALSE),"")</f>
        <v/>
      </c>
    </row>
    <row r="31" spans="4:4" ht="18" customHeight="1" x14ac:dyDescent="0.3">
      <c r="D31" t="str">
        <f>IFERROR(VLOOKUP(C31,Catalog!$A:$B,2,FALSE),"")</f>
        <v/>
      </c>
    </row>
    <row r="32" spans="4:4" ht="18" customHeight="1" x14ac:dyDescent="0.3">
      <c r="D32" t="str">
        <f>IFERROR(VLOOKUP(C32,Catalog!$A:$B,2,FALSE),"")</f>
        <v/>
      </c>
    </row>
    <row r="33" spans="4:4" ht="18" customHeight="1" x14ac:dyDescent="0.3">
      <c r="D33" t="str">
        <f>IFERROR(VLOOKUP(C33,Catalog!$A:$B,2,FALSE),"")</f>
        <v/>
      </c>
    </row>
    <row r="34" spans="4:4" ht="18" customHeight="1" x14ac:dyDescent="0.3">
      <c r="D34" t="str">
        <f>IFERROR(VLOOKUP(C34,Catalog!$A:$B,2,FALSE),"")</f>
        <v/>
      </c>
    </row>
    <row r="35" spans="4:4" ht="18" customHeight="1" x14ac:dyDescent="0.3">
      <c r="D35" t="str">
        <f>IFERROR(VLOOKUP(C35,Catalog!$A:$B,2,FALSE),"")</f>
        <v/>
      </c>
    </row>
    <row r="36" spans="4:4" ht="18" customHeight="1" x14ac:dyDescent="0.3">
      <c r="D36" t="str">
        <f>IFERROR(VLOOKUP(C36,Catalog!$A:$B,2,FALSE),"")</f>
        <v/>
      </c>
    </row>
    <row r="37" spans="4:4" ht="18" customHeight="1" x14ac:dyDescent="0.3">
      <c r="D37" t="str">
        <f>IFERROR(VLOOKUP(C37,Catalog!$A:$B,2,FALSE),"")</f>
        <v/>
      </c>
    </row>
    <row r="38" spans="4:4" ht="18" customHeight="1" x14ac:dyDescent="0.3">
      <c r="D38" t="str">
        <f>IFERROR(VLOOKUP(C38,Catalog!$A:$B,2,FALSE),"")</f>
        <v/>
      </c>
    </row>
    <row r="39" spans="4:4" ht="18" customHeight="1" x14ac:dyDescent="0.3">
      <c r="D39" t="str">
        <f>IFERROR(VLOOKUP(C39,Catalog!$A:$B,2,FALSE),"")</f>
        <v/>
      </c>
    </row>
    <row r="40" spans="4:4" ht="18" customHeight="1" x14ac:dyDescent="0.3">
      <c r="D40" t="str">
        <f>IFERROR(VLOOKUP(C40,Catalog!$A:$B,2,FALSE),"")</f>
        <v/>
      </c>
    </row>
    <row r="41" spans="4:4" ht="18" customHeight="1" x14ac:dyDescent="0.3">
      <c r="D41" t="str">
        <f>IFERROR(VLOOKUP(C41,Catalog!$A:$B,2,FALSE),"")</f>
        <v/>
      </c>
    </row>
    <row r="42" spans="4:4" ht="18" customHeight="1" x14ac:dyDescent="0.3">
      <c r="D42" t="str">
        <f>IFERROR(VLOOKUP(C42,Catalog!$A:$B,2,FALSE),"")</f>
        <v/>
      </c>
    </row>
    <row r="43" spans="4:4" ht="18" customHeight="1" x14ac:dyDescent="0.3">
      <c r="D43" t="str">
        <f>IFERROR(VLOOKUP(C43,Catalog!$A:$B,2,FALSE),"")</f>
        <v/>
      </c>
    </row>
    <row r="44" spans="4:4" ht="18" customHeight="1" x14ac:dyDescent="0.3">
      <c r="D44" t="str">
        <f>IFERROR(VLOOKUP(C44,Catalog!$A:$B,2,FALSE),"")</f>
        <v/>
      </c>
    </row>
    <row r="45" spans="4:4" ht="18" customHeight="1" x14ac:dyDescent="0.3">
      <c r="D45" t="str">
        <f>IFERROR(VLOOKUP(C45,Catalog!$A:$B,2,FALSE),"")</f>
        <v/>
      </c>
    </row>
    <row r="46" spans="4:4" ht="18" customHeight="1" x14ac:dyDescent="0.3">
      <c r="D46" t="str">
        <f>IFERROR(VLOOKUP(C46,Catalog!$A:$B,2,FALSE),"")</f>
        <v/>
      </c>
    </row>
    <row r="47" spans="4:4" ht="18" customHeight="1" x14ac:dyDescent="0.3">
      <c r="D47" t="str">
        <f>IFERROR(VLOOKUP(C47,Catalog!$A:$B,2,FALSE),"")</f>
        <v/>
      </c>
    </row>
    <row r="48" spans="4:4" ht="18" customHeight="1" x14ac:dyDescent="0.3">
      <c r="D48" t="str">
        <f>IFERROR(VLOOKUP(C48,Catalog!$A:$B,2,FALSE),"")</f>
        <v/>
      </c>
    </row>
    <row r="49" spans="4:4" ht="18" customHeight="1" x14ac:dyDescent="0.3">
      <c r="D49" t="str">
        <f>IFERROR(VLOOKUP(C49,Catalog!$A:$B,2,FALSE),"")</f>
        <v/>
      </c>
    </row>
    <row r="50" spans="4:4" ht="18" customHeight="1" x14ac:dyDescent="0.3">
      <c r="D50" t="str">
        <f>IFERROR(VLOOKUP(C50,Catalog!$A:$B,2,FALSE),"")</f>
        <v/>
      </c>
    </row>
    <row r="51" spans="4:4" ht="18" customHeight="1" x14ac:dyDescent="0.3">
      <c r="D51" t="str">
        <f>IFERROR(VLOOKUP(C51,Catalog!$A:$B,2,FALSE),"")</f>
        <v/>
      </c>
    </row>
  </sheetData>
  <dataValidations count="6">
    <dataValidation type="list" allowBlank="1" showInputMessage="1" showErrorMessage="1" sqref="A2 A3 A4 A5 A6 A7 A8 A9 A10 A11 A12 A13 A14 A15 A16 A17 A18 A19 A20 A21 A22 A23 A24 A25 A26 A27 A28 A29 A30 A31 A32 A33 A34 A35 A36 A37 A38 A39 A40 A41 A42 A43 A44 A45 A46 A47 A48 A49 A50 A51" xr:uid="{00000000-0002-0000-0000-000000000000}">
      <formula1>ItemCategories</formula1>
    </dataValidation>
    <dataValidation type="list" allowBlank="1" showInputMessage="1" showErrorMessage="1" sqref="G2 G3 G4 G5 G6 G7 G8 G9 G10 G11 G12 G13 G14 G15 G16 G17 G18 G19 G20 G21 G22 G23 G24 G25 G26 G27 G28 G29 G30 G31 G32 G33 G34 G35 G36 G37 G38 G39 G40 G41 G42 G43 G44 G45 G46 G47 G48 G49 G50 G51" xr:uid="{00000000-0002-0000-0000-000001000000}">
      <formula1>Finishes</formula1>
    </dataValidation>
    <dataValidation type="list" allowBlank="1" showInputMessage="1" showErrorMessage="1" sqref="H2 H3 H4 H5 H6 H7 H8 H9 H10 H11 H12 H13 H14 H15 H16 H17 H18 H19 H20 H21 H22 H23 H24 H25 H26 H27 H28 H29 H30 H31 H32 H33 H34 H35 H36 H37 H38 H39 H40 H41 H42 H43 H44 H45 H46 H47 H48 H49 H50 H51" xr:uid="{00000000-0002-0000-0000-000002000000}">
      <formula1>Handing</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xr:uid="{00000000-0002-0000-0000-000003000000}">
      <formula1>FireRatings</formula1>
    </dataValidation>
    <dataValidation type="whole" operator="greaterThanOrEqual" allowBlank="1" showInputMessage="1" showErrorMessage="1" sqref="E2 E3 E4 E5 E6 E7 E8 E9 E10 E11 E12 E13 E14 E15 E16 E17 E18 E19 E20 E21 E22 E23 E24 E25 E26 E27 E28 E29 E30 E31 E32 E33 E34 E35 E36 E37 E38 E39 E40 E41 E42 E43 E44 E45 E46 E47 E48 E49 E50 E51" xr:uid="{00000000-0002-0000-0000-000004000000}">
      <formula1>0</formula1>
    </dataValidation>
    <dataValidation type="list" allowBlank="1" showInputMessage="1" showErrorMessage="1" sqref="B2:B51" xr:uid="{00000000-0002-0000-0000-000005000000}">
      <formula1>INDIRECT(SUBSTITUTE(SUBSTITUTE(SUBSTITUTE(SUBSTITUTE(SUBSTITUTE(SUBSTITUTE(SUBSTITUTE(SUBSTITUTE(SUBSTITUTE(SUBSTITUTE($A2," ","_"),"/","_"),"-","_"),"(",""),")",""),",",""),".",""),"&amp;","_"),"’",""),"'",""))</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5"/>
  <sheetViews>
    <sheetView workbookViewId="0">
      <pane ySplit="1" topLeftCell="A2" activePane="bottomLeft" state="frozen"/>
      <selection pane="bottomLeft" activeCell="H19" sqref="H19"/>
    </sheetView>
  </sheetViews>
  <sheetFormatPr defaultRowHeight="14.4" x14ac:dyDescent="0.3"/>
  <cols>
    <col min="1" max="1" width="23.21875" style="1" bestFit="1" customWidth="1"/>
    <col min="2" max="2" width="26.21875" style="1" bestFit="1" customWidth="1"/>
    <col min="3" max="3" width="26.88671875" style="1" bestFit="1" customWidth="1"/>
    <col min="4" max="4" width="13.5546875" style="1" bestFit="1" customWidth="1"/>
    <col min="5" max="5" width="13.109375" style="1" bestFit="1" customWidth="1"/>
    <col min="6" max="6" width="8.88671875" style="1"/>
    <col min="7" max="9" width="10.88671875" style="1" bestFit="1" customWidth="1"/>
    <col min="10" max="10" width="14.5546875" style="1" bestFit="1" customWidth="1"/>
    <col min="11" max="11" width="15.33203125" style="1" bestFit="1" customWidth="1"/>
    <col min="12" max="12" width="14" style="1" bestFit="1" customWidth="1"/>
    <col min="13" max="13" width="16.6640625" style="1" bestFit="1" customWidth="1"/>
    <col min="14" max="14" width="15.33203125" style="1" bestFit="1" customWidth="1"/>
    <col min="15" max="15" width="13.5546875" style="1" bestFit="1" customWidth="1"/>
    <col min="16" max="16" width="23.21875" style="1" bestFit="1" customWidth="1"/>
    <col min="17" max="17" width="10.88671875" style="1" bestFit="1" customWidth="1"/>
    <col min="18" max="18" width="16" style="1" bestFit="1" customWidth="1"/>
    <col min="19" max="19" width="13.33203125" style="1" bestFit="1" customWidth="1"/>
    <col min="20" max="20" width="18.44140625" style="1" bestFit="1" customWidth="1"/>
    <col min="21" max="21" width="22.88671875" style="1" bestFit="1" customWidth="1"/>
    <col min="22" max="23" width="17" style="1" bestFit="1" customWidth="1"/>
    <col min="24" max="24" width="8.88671875" style="1"/>
    <col min="25" max="25" width="26.21875" style="1" bestFit="1" customWidth="1"/>
    <col min="26" max="16384" width="8.88671875" style="1"/>
  </cols>
  <sheetData>
    <row r="1" spans="1:25" x14ac:dyDescent="0.3">
      <c r="A1" s="1" t="s">
        <v>10</v>
      </c>
      <c r="B1" s="1" t="s">
        <v>11</v>
      </c>
      <c r="C1" s="1" t="s">
        <v>12</v>
      </c>
      <c r="D1" s="1" t="s">
        <v>7</v>
      </c>
      <c r="E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row>
    <row r="2" spans="1:25" x14ac:dyDescent="0.3">
      <c r="A2" s="1" t="s">
        <v>14</v>
      </c>
      <c r="B2" s="1" t="s">
        <v>33</v>
      </c>
      <c r="C2" s="1" t="s">
        <v>34</v>
      </c>
      <c r="D2" s="1" t="s">
        <v>35</v>
      </c>
      <c r="E2" s="1" t="s">
        <v>36</v>
      </c>
      <c r="G2" s="1" t="s">
        <v>37</v>
      </c>
      <c r="H2" s="1" t="s">
        <v>38</v>
      </c>
      <c r="I2" s="1" t="s">
        <v>39</v>
      </c>
      <c r="J2" s="1" t="s">
        <v>40</v>
      </c>
      <c r="K2" s="1" t="s">
        <v>41</v>
      </c>
      <c r="L2" s="1" t="s">
        <v>42</v>
      </c>
      <c r="M2" s="1" t="s">
        <v>42</v>
      </c>
      <c r="N2" s="1" t="s">
        <v>43</v>
      </c>
      <c r="O2" s="1" t="s">
        <v>37</v>
      </c>
      <c r="P2" s="1" t="s">
        <v>44</v>
      </c>
      <c r="Q2" s="1" t="s">
        <v>45</v>
      </c>
      <c r="R2" s="1" t="s">
        <v>46</v>
      </c>
      <c r="S2" s="1" t="s">
        <v>47</v>
      </c>
      <c r="T2" s="1" t="s">
        <v>39</v>
      </c>
      <c r="U2" s="1" t="s">
        <v>33</v>
      </c>
      <c r="V2" s="1" t="s">
        <v>33</v>
      </c>
      <c r="W2" s="1" t="s">
        <v>39</v>
      </c>
      <c r="X2" s="1" t="s">
        <v>44</v>
      </c>
      <c r="Y2" s="1" t="s">
        <v>33</v>
      </c>
    </row>
    <row r="3" spans="1:25" x14ac:dyDescent="0.3">
      <c r="A3" s="1" t="s">
        <v>15</v>
      </c>
      <c r="B3" s="1" t="s">
        <v>48</v>
      </c>
      <c r="C3" s="1" t="s">
        <v>49</v>
      </c>
      <c r="D3" s="1" t="s">
        <v>50</v>
      </c>
      <c r="E3" s="1" t="s">
        <v>51</v>
      </c>
      <c r="G3" s="1" t="s">
        <v>52</v>
      </c>
      <c r="H3" s="1" t="s">
        <v>37</v>
      </c>
      <c r="I3" s="1" t="s">
        <v>37</v>
      </c>
      <c r="J3" s="1" t="s">
        <v>53</v>
      </c>
      <c r="K3" s="1" t="s">
        <v>53</v>
      </c>
      <c r="L3" s="1" t="s">
        <v>54</v>
      </c>
      <c r="M3" s="1" t="s">
        <v>54</v>
      </c>
      <c r="N3" s="1" t="s">
        <v>45</v>
      </c>
      <c r="O3" s="1" t="s">
        <v>45</v>
      </c>
      <c r="Q3" s="1" t="s">
        <v>47</v>
      </c>
      <c r="R3" s="1" t="s">
        <v>45</v>
      </c>
      <c r="S3" s="1" t="s">
        <v>55</v>
      </c>
      <c r="T3" s="1" t="s">
        <v>37</v>
      </c>
      <c r="U3" s="1" t="s">
        <v>56</v>
      </c>
      <c r="V3" s="1" t="s">
        <v>48</v>
      </c>
      <c r="W3" s="1" t="s">
        <v>57</v>
      </c>
      <c r="Y3" s="1" t="s">
        <v>48</v>
      </c>
    </row>
    <row r="4" spans="1:25" x14ac:dyDescent="0.3">
      <c r="A4" s="1" t="s">
        <v>16</v>
      </c>
      <c r="B4" s="1" t="s">
        <v>41</v>
      </c>
      <c r="C4" s="1" t="s">
        <v>58</v>
      </c>
      <c r="D4" s="1" t="s">
        <v>59</v>
      </c>
      <c r="E4" s="1" t="s">
        <v>60</v>
      </c>
      <c r="G4" s="1" t="s">
        <v>39</v>
      </c>
      <c r="H4" s="1" t="s">
        <v>52</v>
      </c>
      <c r="I4" s="1" t="s">
        <v>52</v>
      </c>
      <c r="J4" s="1" t="s">
        <v>61</v>
      </c>
      <c r="K4" s="1" t="s">
        <v>61</v>
      </c>
      <c r="L4" s="1" t="s">
        <v>57</v>
      </c>
      <c r="M4" s="1" t="s">
        <v>57</v>
      </c>
      <c r="N4" s="1" t="s">
        <v>47</v>
      </c>
      <c r="O4" s="1" t="s">
        <v>52</v>
      </c>
      <c r="Q4" s="1" t="s">
        <v>52</v>
      </c>
      <c r="S4" s="1" t="s">
        <v>45</v>
      </c>
      <c r="T4" s="1" t="s">
        <v>52</v>
      </c>
      <c r="V4" s="1" t="s">
        <v>62</v>
      </c>
      <c r="W4" s="1" t="s">
        <v>62</v>
      </c>
      <c r="Y4" s="1" t="s">
        <v>41</v>
      </c>
    </row>
    <row r="5" spans="1:25" x14ac:dyDescent="0.3">
      <c r="A5" s="1" t="s">
        <v>17</v>
      </c>
      <c r="B5" s="1" t="s">
        <v>40</v>
      </c>
      <c r="C5" s="1" t="s">
        <v>63</v>
      </c>
      <c r="D5" s="1" t="s">
        <v>64</v>
      </c>
      <c r="E5" s="1" t="s">
        <v>65</v>
      </c>
      <c r="J5" s="1" t="s">
        <v>66</v>
      </c>
      <c r="K5" s="1" t="s">
        <v>66</v>
      </c>
      <c r="Q5" s="1" t="s">
        <v>37</v>
      </c>
      <c r="S5" s="1" t="s">
        <v>67</v>
      </c>
      <c r="V5" s="1" t="s">
        <v>68</v>
      </c>
      <c r="W5" s="1" t="s">
        <v>68</v>
      </c>
      <c r="Y5" s="1" t="s">
        <v>40</v>
      </c>
    </row>
    <row r="6" spans="1:25" x14ac:dyDescent="0.3">
      <c r="A6" s="1" t="s">
        <v>18</v>
      </c>
      <c r="B6" s="1" t="s">
        <v>53</v>
      </c>
      <c r="C6" s="1" t="s">
        <v>69</v>
      </c>
      <c r="D6" s="1" t="s">
        <v>70</v>
      </c>
      <c r="E6" s="1" t="s">
        <v>71</v>
      </c>
      <c r="J6" s="1" t="s">
        <v>67</v>
      </c>
      <c r="K6" s="1" t="s">
        <v>67</v>
      </c>
      <c r="Y6" s="1" t="s">
        <v>53</v>
      </c>
    </row>
    <row r="7" spans="1:25" x14ac:dyDescent="0.3">
      <c r="A7" s="1" t="s">
        <v>19</v>
      </c>
      <c r="B7" s="1" t="s">
        <v>43</v>
      </c>
      <c r="C7" s="1" t="s">
        <v>72</v>
      </c>
      <c r="D7" s="1" t="s">
        <v>73</v>
      </c>
      <c r="E7" s="1" t="s">
        <v>74</v>
      </c>
      <c r="K7" s="1" t="s">
        <v>43</v>
      </c>
      <c r="Y7" s="1" t="s">
        <v>43</v>
      </c>
    </row>
    <row r="8" spans="1:25" x14ac:dyDescent="0.3">
      <c r="A8" s="1" t="s">
        <v>20</v>
      </c>
      <c r="B8" s="1" t="s">
        <v>52</v>
      </c>
      <c r="C8" s="1" t="s">
        <v>75</v>
      </c>
      <c r="D8" s="1" t="s">
        <v>76</v>
      </c>
      <c r="E8" s="1" t="s">
        <v>77</v>
      </c>
      <c r="Y8" s="1" t="s">
        <v>52</v>
      </c>
    </row>
    <row r="9" spans="1:25" x14ac:dyDescent="0.3">
      <c r="A9" s="1" t="s">
        <v>21</v>
      </c>
      <c r="B9" s="1" t="s">
        <v>46</v>
      </c>
      <c r="C9" s="1" t="s">
        <v>78</v>
      </c>
      <c r="D9" s="1" t="s">
        <v>79</v>
      </c>
      <c r="Y9" s="1" t="s">
        <v>46</v>
      </c>
    </row>
    <row r="10" spans="1:25" x14ac:dyDescent="0.3">
      <c r="A10" s="1" t="s">
        <v>22</v>
      </c>
      <c r="B10" s="1" t="s">
        <v>54</v>
      </c>
      <c r="C10" s="1" t="s">
        <v>80</v>
      </c>
      <c r="Y10" s="1" t="s">
        <v>54</v>
      </c>
    </row>
    <row r="11" spans="1:25" x14ac:dyDescent="0.3">
      <c r="A11" s="1" t="s">
        <v>23</v>
      </c>
      <c r="B11" s="1" t="s">
        <v>42</v>
      </c>
      <c r="C11" s="1" t="s">
        <v>81</v>
      </c>
      <c r="Y11" s="1" t="s">
        <v>42</v>
      </c>
    </row>
    <row r="12" spans="1:25" x14ac:dyDescent="0.3">
      <c r="A12" s="1" t="s">
        <v>24</v>
      </c>
      <c r="B12" s="1" t="s">
        <v>61</v>
      </c>
      <c r="C12" s="1" t="s">
        <v>82</v>
      </c>
      <c r="Y12" s="1" t="s">
        <v>61</v>
      </c>
    </row>
    <row r="13" spans="1:25" x14ac:dyDescent="0.3">
      <c r="A13" s="1" t="s">
        <v>25</v>
      </c>
      <c r="B13" s="1" t="s">
        <v>66</v>
      </c>
      <c r="C13" s="1" t="s">
        <v>83</v>
      </c>
      <c r="Y13" s="1" t="s">
        <v>66</v>
      </c>
    </row>
    <row r="14" spans="1:25" x14ac:dyDescent="0.3">
      <c r="A14" s="1" t="s">
        <v>26</v>
      </c>
      <c r="B14" s="1" t="s">
        <v>37</v>
      </c>
      <c r="C14" s="1" t="s">
        <v>84</v>
      </c>
      <c r="Y14" s="1" t="s">
        <v>37</v>
      </c>
    </row>
    <row r="15" spans="1:25" x14ac:dyDescent="0.3">
      <c r="A15" s="1" t="s">
        <v>27</v>
      </c>
      <c r="B15" s="1" t="s">
        <v>55</v>
      </c>
      <c r="C15" s="1" t="s">
        <v>85</v>
      </c>
      <c r="Y15" s="1" t="s">
        <v>55</v>
      </c>
    </row>
    <row r="16" spans="1:25" x14ac:dyDescent="0.3">
      <c r="A16" s="1" t="s">
        <v>28</v>
      </c>
      <c r="B16" s="1" t="s">
        <v>47</v>
      </c>
      <c r="Y16" s="1" t="s">
        <v>47</v>
      </c>
    </row>
    <row r="17" spans="1:25" x14ac:dyDescent="0.3">
      <c r="A17" s="1" t="s">
        <v>29</v>
      </c>
      <c r="B17" s="1" t="s">
        <v>62</v>
      </c>
      <c r="Y17" s="1" t="s">
        <v>62</v>
      </c>
    </row>
    <row r="18" spans="1:25" x14ac:dyDescent="0.3">
      <c r="A18" s="1" t="s">
        <v>30</v>
      </c>
      <c r="B18" s="1" t="s">
        <v>68</v>
      </c>
      <c r="Y18" s="1" t="s">
        <v>68</v>
      </c>
    </row>
    <row r="19" spans="1:25" x14ac:dyDescent="0.3">
      <c r="A19" s="1" t="s">
        <v>31</v>
      </c>
      <c r="B19" s="1" t="s">
        <v>39</v>
      </c>
      <c r="Y19" s="1" t="s">
        <v>39</v>
      </c>
    </row>
    <row r="20" spans="1:25" x14ac:dyDescent="0.3">
      <c r="A20" s="1" t="s">
        <v>32</v>
      </c>
      <c r="B20" s="1" t="s">
        <v>56</v>
      </c>
      <c r="Y20" s="1" t="s">
        <v>56</v>
      </c>
    </row>
    <row r="21" spans="1:25" x14ac:dyDescent="0.3">
      <c r="B21" s="1" t="s">
        <v>45</v>
      </c>
      <c r="Y21" s="1" t="s">
        <v>45</v>
      </c>
    </row>
    <row r="22" spans="1:25" x14ac:dyDescent="0.3">
      <c r="B22" s="1" t="s">
        <v>67</v>
      </c>
      <c r="Y22" s="1" t="s">
        <v>67</v>
      </c>
    </row>
    <row r="23" spans="1:25" x14ac:dyDescent="0.3">
      <c r="B23" s="1" t="s">
        <v>57</v>
      </c>
      <c r="Y23" s="1" t="s">
        <v>57</v>
      </c>
    </row>
    <row r="24" spans="1:25" x14ac:dyDescent="0.3">
      <c r="B24" s="1" t="s">
        <v>38</v>
      </c>
      <c r="Y24" s="1" t="s">
        <v>38</v>
      </c>
    </row>
    <row r="25" spans="1:25" x14ac:dyDescent="0.3">
      <c r="B25" s="1" t="s">
        <v>86</v>
      </c>
      <c r="Y25" s="1" t="s">
        <v>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heetViews>
  <sheetFormatPr defaultRowHeight="14.4" x14ac:dyDescent="0.3"/>
  <sheetData>
    <row r="1" spans="1:4" x14ac:dyDescent="0.3">
      <c r="A1" t="s">
        <v>2</v>
      </c>
      <c r="B1" t="s">
        <v>3</v>
      </c>
      <c r="C1" t="s">
        <v>87</v>
      </c>
      <c r="D1" t="s">
        <v>88</v>
      </c>
    </row>
    <row r="2" spans="1:4" x14ac:dyDescent="0.3">
      <c r="A2" t="s">
        <v>89</v>
      </c>
      <c r="B2" t="s">
        <v>90</v>
      </c>
      <c r="C2" t="s">
        <v>33</v>
      </c>
      <c r="D2" t="s">
        <v>29</v>
      </c>
    </row>
    <row r="3" spans="1:4" x14ac:dyDescent="0.3">
      <c r="A3" t="s">
        <v>91</v>
      </c>
      <c r="B3" t="s">
        <v>92</v>
      </c>
      <c r="C3" t="s">
        <v>33</v>
      </c>
      <c r="D3" t="s">
        <v>28</v>
      </c>
    </row>
    <row r="4" spans="1:4" x14ac:dyDescent="0.3">
      <c r="A4" t="s">
        <v>93</v>
      </c>
      <c r="B4" t="s">
        <v>94</v>
      </c>
      <c r="C4" t="s">
        <v>48</v>
      </c>
      <c r="D4" t="s">
        <v>29</v>
      </c>
    </row>
    <row r="5" spans="1:4" x14ac:dyDescent="0.3">
      <c r="A5" t="s">
        <v>95</v>
      </c>
      <c r="B5" t="s">
        <v>96</v>
      </c>
      <c r="C5" t="s">
        <v>41</v>
      </c>
      <c r="D5" t="s">
        <v>18</v>
      </c>
    </row>
    <row r="6" spans="1:4" x14ac:dyDescent="0.3">
      <c r="A6" t="s">
        <v>97</v>
      </c>
      <c r="B6" t="s">
        <v>98</v>
      </c>
      <c r="C6" t="s">
        <v>43</v>
      </c>
      <c r="D6" t="s">
        <v>18</v>
      </c>
    </row>
    <row r="7" spans="1:4" x14ac:dyDescent="0.3">
      <c r="A7" t="s">
        <v>99</v>
      </c>
      <c r="B7" t="s">
        <v>100</v>
      </c>
      <c r="C7" t="s">
        <v>43</v>
      </c>
      <c r="D7" t="s">
        <v>21</v>
      </c>
    </row>
    <row r="8" spans="1:4" x14ac:dyDescent="0.3">
      <c r="A8" t="s">
        <v>101</v>
      </c>
      <c r="B8" t="s">
        <v>102</v>
      </c>
      <c r="C8" t="s">
        <v>46</v>
      </c>
      <c r="D8" t="s">
        <v>25</v>
      </c>
    </row>
    <row r="9" spans="1:4" x14ac:dyDescent="0.3">
      <c r="A9" t="s">
        <v>103</v>
      </c>
      <c r="B9" t="s">
        <v>104</v>
      </c>
      <c r="C9" t="s">
        <v>46</v>
      </c>
      <c r="D9" t="s">
        <v>25</v>
      </c>
    </row>
    <row r="10" spans="1:4" x14ac:dyDescent="0.3">
      <c r="A10" t="s">
        <v>105</v>
      </c>
      <c r="B10" t="s">
        <v>106</v>
      </c>
      <c r="C10" t="s">
        <v>55</v>
      </c>
      <c r="D10" t="s">
        <v>26</v>
      </c>
    </row>
    <row r="11" spans="1:4" x14ac:dyDescent="0.3">
      <c r="A11" t="s">
        <v>107</v>
      </c>
      <c r="B11" t="s">
        <v>108</v>
      </c>
      <c r="C11" t="s">
        <v>47</v>
      </c>
      <c r="D11" t="s">
        <v>26</v>
      </c>
    </row>
    <row r="12" spans="1:4" x14ac:dyDescent="0.3">
      <c r="A12" t="s">
        <v>109</v>
      </c>
      <c r="B12" t="s">
        <v>110</v>
      </c>
      <c r="C12" t="s">
        <v>57</v>
      </c>
      <c r="D12" t="s">
        <v>30</v>
      </c>
    </row>
    <row r="13" spans="1:4" x14ac:dyDescent="0.3">
      <c r="A13" t="s">
        <v>111</v>
      </c>
      <c r="B13" t="s">
        <v>112</v>
      </c>
      <c r="C13" t="s">
        <v>42</v>
      </c>
      <c r="D13" t="s">
        <v>19</v>
      </c>
    </row>
    <row r="14" spans="1:4" x14ac:dyDescent="0.3">
      <c r="A14" t="s">
        <v>113</v>
      </c>
      <c r="B14" t="s">
        <v>114</v>
      </c>
      <c r="C14" t="s">
        <v>54</v>
      </c>
      <c r="D14" t="s">
        <v>19</v>
      </c>
    </row>
    <row r="15" spans="1:4" x14ac:dyDescent="0.3">
      <c r="A15" t="s">
        <v>115</v>
      </c>
      <c r="B15" t="s">
        <v>116</v>
      </c>
      <c r="C15" t="s">
        <v>62</v>
      </c>
      <c r="D15" t="s">
        <v>30</v>
      </c>
    </row>
    <row r="16" spans="1:4" x14ac:dyDescent="0.3">
      <c r="A16" t="s">
        <v>117</v>
      </c>
      <c r="B16" t="s">
        <v>118</v>
      </c>
      <c r="C16" t="s">
        <v>68</v>
      </c>
      <c r="D16" t="s">
        <v>30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1"/>
  <sheetViews>
    <sheetView workbookViewId="0">
      <pane ySplit="1" topLeftCell="A2" activePane="bottomLeft" state="frozen"/>
      <selection pane="bottomLeft"/>
    </sheetView>
  </sheetViews>
  <sheetFormatPr defaultRowHeight="14.4" x14ac:dyDescent="0.3"/>
  <cols>
    <col min="1" max="10" width="20" customWidth="1"/>
  </cols>
  <sheetData>
    <row r="1" spans="1:10" ht="18" customHeight="1" x14ac:dyDescent="0.3">
      <c r="A1" t="s">
        <v>0</v>
      </c>
      <c r="B1" t="s">
        <v>1</v>
      </c>
      <c r="C1" t="s">
        <v>2</v>
      </c>
      <c r="D1" t="s">
        <v>3</v>
      </c>
      <c r="E1" t="s">
        <v>4</v>
      </c>
      <c r="F1" t="s">
        <v>5</v>
      </c>
      <c r="G1" t="s">
        <v>6</v>
      </c>
      <c r="H1" t="s">
        <v>7</v>
      </c>
      <c r="I1" t="s">
        <v>8</v>
      </c>
      <c r="J1" t="s">
        <v>9</v>
      </c>
    </row>
    <row r="2" spans="1:10" ht="18" customHeight="1" x14ac:dyDescent="0.3">
      <c r="D2" t="str">
        <f>IFERROR(VLOOKUP(C2,Catalog!$A:$B,2,FALSE),"")</f>
        <v/>
      </c>
    </row>
    <row r="3" spans="1:10" ht="18" customHeight="1" x14ac:dyDescent="0.3">
      <c r="D3" t="str">
        <f>IFERROR(VLOOKUP(C3,Catalog!$A:$B,2,FALSE),"")</f>
        <v/>
      </c>
    </row>
    <row r="4" spans="1:10" ht="18" customHeight="1" x14ac:dyDescent="0.3">
      <c r="D4" t="str">
        <f>IFERROR(VLOOKUP(C4,Catalog!$A:$B,2,FALSE),"")</f>
        <v/>
      </c>
    </row>
    <row r="5" spans="1:10" ht="18" customHeight="1" x14ac:dyDescent="0.3">
      <c r="D5" t="str">
        <f>IFERROR(VLOOKUP(C5,Catalog!$A:$B,2,FALSE),"")</f>
        <v/>
      </c>
    </row>
    <row r="6" spans="1:10" ht="18" customHeight="1" x14ac:dyDescent="0.3">
      <c r="D6" t="str">
        <f>IFERROR(VLOOKUP(C6,Catalog!$A:$B,2,FALSE),"")</f>
        <v/>
      </c>
    </row>
    <row r="7" spans="1:10" ht="18" customHeight="1" x14ac:dyDescent="0.3">
      <c r="D7" t="str">
        <f>IFERROR(VLOOKUP(C7,Catalog!$A:$B,2,FALSE),"")</f>
        <v/>
      </c>
    </row>
    <row r="8" spans="1:10" ht="18" customHeight="1" x14ac:dyDescent="0.3">
      <c r="D8" t="str">
        <f>IFERROR(VLOOKUP(C8,Catalog!$A:$B,2,FALSE),"")</f>
        <v/>
      </c>
    </row>
    <row r="9" spans="1:10" ht="18" customHeight="1" x14ac:dyDescent="0.3">
      <c r="D9" t="str">
        <f>IFERROR(VLOOKUP(C9,Catalog!$A:$B,2,FALSE),"")</f>
        <v/>
      </c>
    </row>
    <row r="10" spans="1:10" ht="18" customHeight="1" x14ac:dyDescent="0.3">
      <c r="D10" t="str">
        <f>IFERROR(VLOOKUP(C10,Catalog!$A:$B,2,FALSE),"")</f>
        <v/>
      </c>
    </row>
    <row r="11" spans="1:10" ht="18" customHeight="1" x14ac:dyDescent="0.3">
      <c r="D11" t="str">
        <f>IFERROR(VLOOKUP(C11,Catalog!$A:$B,2,FALSE),"")</f>
        <v/>
      </c>
    </row>
    <row r="12" spans="1:10" ht="18" customHeight="1" x14ac:dyDescent="0.3">
      <c r="D12" t="str">
        <f>IFERROR(VLOOKUP(C12,Catalog!$A:$B,2,FALSE),"")</f>
        <v/>
      </c>
    </row>
    <row r="13" spans="1:10" ht="18" customHeight="1" x14ac:dyDescent="0.3">
      <c r="D13" t="str">
        <f>IFERROR(VLOOKUP(C13,Catalog!$A:$B,2,FALSE),"")</f>
        <v/>
      </c>
    </row>
    <row r="14" spans="1:10" ht="18" customHeight="1" x14ac:dyDescent="0.3">
      <c r="D14" t="str">
        <f>IFERROR(VLOOKUP(C14,Catalog!$A:$B,2,FALSE),"")</f>
        <v/>
      </c>
    </row>
    <row r="15" spans="1:10" ht="18" customHeight="1" x14ac:dyDescent="0.3">
      <c r="D15" t="str">
        <f>IFERROR(VLOOKUP(C15,Catalog!$A:$B,2,FALSE),"")</f>
        <v/>
      </c>
    </row>
    <row r="16" spans="1:10" ht="18" customHeight="1" x14ac:dyDescent="0.3">
      <c r="D16" t="str">
        <f>IFERROR(VLOOKUP(C16,Catalog!$A:$B,2,FALSE),"")</f>
        <v/>
      </c>
    </row>
    <row r="17" spans="4:4" ht="18" customHeight="1" x14ac:dyDescent="0.3">
      <c r="D17" t="str">
        <f>IFERROR(VLOOKUP(C17,Catalog!$A:$B,2,FALSE),"")</f>
        <v/>
      </c>
    </row>
    <row r="18" spans="4:4" ht="18" customHeight="1" x14ac:dyDescent="0.3">
      <c r="D18" t="str">
        <f>IFERROR(VLOOKUP(C18,Catalog!$A:$B,2,FALSE),"")</f>
        <v/>
      </c>
    </row>
    <row r="19" spans="4:4" ht="18" customHeight="1" x14ac:dyDescent="0.3">
      <c r="D19" t="str">
        <f>IFERROR(VLOOKUP(C19,Catalog!$A:$B,2,FALSE),"")</f>
        <v/>
      </c>
    </row>
    <row r="20" spans="4:4" ht="18" customHeight="1" x14ac:dyDescent="0.3">
      <c r="D20" t="str">
        <f>IFERROR(VLOOKUP(C20,Catalog!$A:$B,2,FALSE),"")</f>
        <v/>
      </c>
    </row>
    <row r="21" spans="4:4" ht="18" customHeight="1" x14ac:dyDescent="0.3">
      <c r="D21" t="str">
        <f>IFERROR(VLOOKUP(C21,Catalog!$A:$B,2,FALSE),"")</f>
        <v/>
      </c>
    </row>
    <row r="22" spans="4:4" ht="18" customHeight="1" x14ac:dyDescent="0.3">
      <c r="D22" t="str">
        <f>IFERROR(VLOOKUP(C22,Catalog!$A:$B,2,FALSE),"")</f>
        <v/>
      </c>
    </row>
    <row r="23" spans="4:4" ht="18" customHeight="1" x14ac:dyDescent="0.3">
      <c r="D23" t="str">
        <f>IFERROR(VLOOKUP(C23,Catalog!$A:$B,2,FALSE),"")</f>
        <v/>
      </c>
    </row>
    <row r="24" spans="4:4" ht="18" customHeight="1" x14ac:dyDescent="0.3">
      <c r="D24" t="str">
        <f>IFERROR(VLOOKUP(C24,Catalog!$A:$B,2,FALSE),"")</f>
        <v/>
      </c>
    </row>
    <row r="25" spans="4:4" ht="18" customHeight="1" x14ac:dyDescent="0.3">
      <c r="D25" t="str">
        <f>IFERROR(VLOOKUP(C25,Catalog!$A:$B,2,FALSE),"")</f>
        <v/>
      </c>
    </row>
    <row r="26" spans="4:4" ht="18" customHeight="1" x14ac:dyDescent="0.3">
      <c r="D26" t="str">
        <f>IFERROR(VLOOKUP(C26,Catalog!$A:$B,2,FALSE),"")</f>
        <v/>
      </c>
    </row>
    <row r="27" spans="4:4" ht="18" customHeight="1" x14ac:dyDescent="0.3">
      <c r="D27" t="str">
        <f>IFERROR(VLOOKUP(C27,Catalog!$A:$B,2,FALSE),"")</f>
        <v/>
      </c>
    </row>
    <row r="28" spans="4:4" ht="18" customHeight="1" x14ac:dyDescent="0.3">
      <c r="D28" t="str">
        <f>IFERROR(VLOOKUP(C28,Catalog!$A:$B,2,FALSE),"")</f>
        <v/>
      </c>
    </row>
    <row r="29" spans="4:4" ht="18" customHeight="1" x14ac:dyDescent="0.3">
      <c r="D29" t="str">
        <f>IFERROR(VLOOKUP(C29,Catalog!$A:$B,2,FALSE),"")</f>
        <v/>
      </c>
    </row>
    <row r="30" spans="4:4" ht="18" customHeight="1" x14ac:dyDescent="0.3">
      <c r="D30" t="str">
        <f>IFERROR(VLOOKUP(C30,Catalog!$A:$B,2,FALSE),"")</f>
        <v/>
      </c>
    </row>
    <row r="31" spans="4:4" ht="18" customHeight="1" x14ac:dyDescent="0.3">
      <c r="D31" t="str">
        <f>IFERROR(VLOOKUP(C31,Catalog!$A:$B,2,FALSE),"")</f>
        <v/>
      </c>
    </row>
    <row r="32" spans="4:4" ht="18" customHeight="1" x14ac:dyDescent="0.3">
      <c r="D32" t="str">
        <f>IFERROR(VLOOKUP(C32,Catalog!$A:$B,2,FALSE),"")</f>
        <v/>
      </c>
    </row>
    <row r="33" spans="4:4" ht="18" customHeight="1" x14ac:dyDescent="0.3">
      <c r="D33" t="str">
        <f>IFERROR(VLOOKUP(C33,Catalog!$A:$B,2,FALSE),"")</f>
        <v/>
      </c>
    </row>
    <row r="34" spans="4:4" ht="18" customHeight="1" x14ac:dyDescent="0.3">
      <c r="D34" t="str">
        <f>IFERROR(VLOOKUP(C34,Catalog!$A:$B,2,FALSE),"")</f>
        <v/>
      </c>
    </row>
    <row r="35" spans="4:4" ht="18" customHeight="1" x14ac:dyDescent="0.3">
      <c r="D35" t="str">
        <f>IFERROR(VLOOKUP(C35,Catalog!$A:$B,2,FALSE),"")</f>
        <v/>
      </c>
    </row>
    <row r="36" spans="4:4" ht="18" customHeight="1" x14ac:dyDescent="0.3">
      <c r="D36" t="str">
        <f>IFERROR(VLOOKUP(C36,Catalog!$A:$B,2,FALSE),"")</f>
        <v/>
      </c>
    </row>
    <row r="37" spans="4:4" ht="18" customHeight="1" x14ac:dyDescent="0.3">
      <c r="D37" t="str">
        <f>IFERROR(VLOOKUP(C37,Catalog!$A:$B,2,FALSE),"")</f>
        <v/>
      </c>
    </row>
    <row r="38" spans="4:4" ht="18" customHeight="1" x14ac:dyDescent="0.3">
      <c r="D38" t="str">
        <f>IFERROR(VLOOKUP(C38,Catalog!$A:$B,2,FALSE),"")</f>
        <v/>
      </c>
    </row>
    <row r="39" spans="4:4" ht="18" customHeight="1" x14ac:dyDescent="0.3">
      <c r="D39" t="str">
        <f>IFERROR(VLOOKUP(C39,Catalog!$A:$B,2,FALSE),"")</f>
        <v/>
      </c>
    </row>
    <row r="40" spans="4:4" ht="18" customHeight="1" x14ac:dyDescent="0.3">
      <c r="D40" t="str">
        <f>IFERROR(VLOOKUP(C40,Catalog!$A:$B,2,FALSE),"")</f>
        <v/>
      </c>
    </row>
    <row r="41" spans="4:4" ht="18" customHeight="1" x14ac:dyDescent="0.3">
      <c r="D41" t="str">
        <f>IFERROR(VLOOKUP(C41,Catalog!$A:$B,2,FALSE),"")</f>
        <v/>
      </c>
    </row>
    <row r="42" spans="4:4" ht="18" customHeight="1" x14ac:dyDescent="0.3">
      <c r="D42" t="str">
        <f>IFERROR(VLOOKUP(C42,Catalog!$A:$B,2,FALSE),"")</f>
        <v/>
      </c>
    </row>
    <row r="43" spans="4:4" ht="18" customHeight="1" x14ac:dyDescent="0.3">
      <c r="D43" t="str">
        <f>IFERROR(VLOOKUP(C43,Catalog!$A:$B,2,FALSE),"")</f>
        <v/>
      </c>
    </row>
    <row r="44" spans="4:4" ht="18" customHeight="1" x14ac:dyDescent="0.3">
      <c r="D44" t="str">
        <f>IFERROR(VLOOKUP(C44,Catalog!$A:$B,2,FALSE),"")</f>
        <v/>
      </c>
    </row>
    <row r="45" spans="4:4" ht="18" customHeight="1" x14ac:dyDescent="0.3">
      <c r="D45" t="str">
        <f>IFERROR(VLOOKUP(C45,Catalog!$A:$B,2,FALSE),"")</f>
        <v/>
      </c>
    </row>
    <row r="46" spans="4:4" ht="18" customHeight="1" x14ac:dyDescent="0.3">
      <c r="D46" t="str">
        <f>IFERROR(VLOOKUP(C46,Catalog!$A:$B,2,FALSE),"")</f>
        <v/>
      </c>
    </row>
    <row r="47" spans="4:4" ht="18" customHeight="1" x14ac:dyDescent="0.3">
      <c r="D47" t="str">
        <f>IFERROR(VLOOKUP(C47,Catalog!$A:$B,2,FALSE),"")</f>
        <v/>
      </c>
    </row>
    <row r="48" spans="4:4" ht="18" customHeight="1" x14ac:dyDescent="0.3">
      <c r="D48" t="str">
        <f>IFERROR(VLOOKUP(C48,Catalog!$A:$B,2,FALSE),"")</f>
        <v/>
      </c>
    </row>
    <row r="49" spans="4:4" ht="18" customHeight="1" x14ac:dyDescent="0.3">
      <c r="D49" t="str">
        <f>IFERROR(VLOOKUP(C49,Catalog!$A:$B,2,FALSE),"")</f>
        <v/>
      </c>
    </row>
    <row r="50" spans="4:4" ht="18" customHeight="1" x14ac:dyDescent="0.3">
      <c r="D50" t="str">
        <f>IFERROR(VLOOKUP(C50,Catalog!$A:$B,2,FALSE),"")</f>
        <v/>
      </c>
    </row>
    <row r="51" spans="4:4" ht="18" customHeight="1" x14ac:dyDescent="0.3">
      <c r="D51" t="str">
        <f>IFERROR(VLOOKUP(C51,Catalog!$A:$B,2,FALSE),"")</f>
        <v/>
      </c>
    </row>
  </sheetData>
  <dataValidations count="6">
    <dataValidation type="list" allowBlank="1" showInputMessage="1" showErrorMessage="1" sqref="A2 A3 A4 A5 A6 A7 A8 A9 A10 A11 A12 A13 A14 A15 A16 A17 A18 A19 A20 A21 A22 A23 A24 A25 A26 A27 A28 A29 A30 A31 A32 A33 A34 A35 A36 A37 A38 A39 A40 A41 A42 A43 A44 A45 A46 A47 A48 A49 A50 A51" xr:uid="{00000000-0002-0000-0300-000000000000}">
      <formula1>ItemCategories</formula1>
    </dataValidation>
    <dataValidation type="list" allowBlank="1" showInputMessage="1" showErrorMessage="1" sqref="G2 G3 G4 G5 G6 G7 G8 G9 G10 G11 G12 G13 G14 G15 G16 G17 G18 G19 G20 G21 G22 G23 G24 G25 G26 G27 G28 G29 G30 G31 G32 G33 G34 G35 G36 G37 G38 G39 G40 G41 G42 G43 G44 G45 G46 G47 G48 G49 G50 G51" xr:uid="{00000000-0002-0000-0300-000001000000}">
      <formula1>Finishes</formula1>
    </dataValidation>
    <dataValidation type="list" allowBlank="1" showInputMessage="1" showErrorMessage="1" sqref="H2 H3 H4 H5 H6 H7 H8 H9 H10 H11 H12 H13 H14 H15 H16 H17 H18 H19 H20 H21 H22 H23 H24 H25 H26 H27 H28 H29 H30 H31 H32 H33 H34 H35 H36 H37 H38 H39 H40 H41 H42 H43 H44 H45 H46 H47 H48 H49 H50 H51" xr:uid="{00000000-0002-0000-0300-000002000000}">
      <formula1>Handing</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xr:uid="{00000000-0002-0000-0300-000003000000}">
      <formula1>FireRatings</formula1>
    </dataValidation>
    <dataValidation type="whole" operator="greaterThanOrEqual" allowBlank="1" showInputMessage="1" showErrorMessage="1" sqref="E2 E3 E4 E5 E6 E7 E8 E9 E10 E11 E12 E13 E14 E15 E16 E17 E18 E19 E20 E21 E22 E23 E24 E25 E26 E27 E28 E29 E30 E31 E32 E33 E34 E35 E36 E37 E38 E39 E40 E41 E42 E43 E44 E45 E46 E47 E48 E49 E50 E51" xr:uid="{00000000-0002-0000-0300-000004000000}">
      <formula1>0</formula1>
    </dataValidation>
    <dataValidation type="list" allowBlank="1" showInputMessage="1" showErrorMessage="1" sqref="B2:B51" xr:uid="{00000000-0002-0000-0300-000005000000}">
      <formula1>INDIRECT(SUBSTITUTE(SUBSTITUTE(SUBSTITUTE(SUBSTITUTE(SUBSTITUTE(SUBSTITUTE(SUBSTITUTE(SUBSTITUTE(SUBSTITUTE(SUBSTITUTE($A2," ","_"),"/","_"),"-","_"),"(",""),")",""),",",""),".",""),"&amp;","_"),"’",""),"'",""))</formula1>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1"/>
  <sheetViews>
    <sheetView workbookViewId="0">
      <pane ySplit="1" topLeftCell="A2" activePane="bottomLeft" state="frozen"/>
      <selection pane="bottomLeft"/>
    </sheetView>
  </sheetViews>
  <sheetFormatPr defaultRowHeight="14.4" x14ac:dyDescent="0.3"/>
  <cols>
    <col min="1" max="10" width="20" customWidth="1"/>
  </cols>
  <sheetData>
    <row r="1" spans="1:10" ht="18" customHeight="1" x14ac:dyDescent="0.3">
      <c r="A1" t="s">
        <v>0</v>
      </c>
      <c r="B1" t="s">
        <v>1</v>
      </c>
      <c r="C1" t="s">
        <v>2</v>
      </c>
      <c r="D1" t="s">
        <v>3</v>
      </c>
      <c r="E1" t="s">
        <v>4</v>
      </c>
      <c r="F1" t="s">
        <v>5</v>
      </c>
      <c r="G1" t="s">
        <v>6</v>
      </c>
      <c r="H1" t="s">
        <v>7</v>
      </c>
      <c r="I1" t="s">
        <v>8</v>
      </c>
      <c r="J1" t="s">
        <v>9</v>
      </c>
    </row>
    <row r="2" spans="1:10" ht="18" customHeight="1" x14ac:dyDescent="0.3">
      <c r="D2" t="str">
        <f>IFERROR(VLOOKUP(C2,Catalog!$A:$B,2,FALSE),"")</f>
        <v/>
      </c>
    </row>
    <row r="3" spans="1:10" ht="18" customHeight="1" x14ac:dyDescent="0.3">
      <c r="D3" t="str">
        <f>IFERROR(VLOOKUP(C3,Catalog!$A:$B,2,FALSE),"")</f>
        <v/>
      </c>
    </row>
    <row r="4" spans="1:10" ht="18" customHeight="1" x14ac:dyDescent="0.3">
      <c r="D4" t="str">
        <f>IFERROR(VLOOKUP(C4,Catalog!$A:$B,2,FALSE),"")</f>
        <v/>
      </c>
    </row>
    <row r="5" spans="1:10" ht="18" customHeight="1" x14ac:dyDescent="0.3">
      <c r="D5" t="str">
        <f>IFERROR(VLOOKUP(C5,Catalog!$A:$B,2,FALSE),"")</f>
        <v/>
      </c>
    </row>
    <row r="6" spans="1:10" ht="18" customHeight="1" x14ac:dyDescent="0.3">
      <c r="D6" t="str">
        <f>IFERROR(VLOOKUP(C6,Catalog!$A:$B,2,FALSE),"")</f>
        <v/>
      </c>
    </row>
    <row r="7" spans="1:10" ht="18" customHeight="1" x14ac:dyDescent="0.3">
      <c r="D7" t="str">
        <f>IFERROR(VLOOKUP(C7,Catalog!$A:$B,2,FALSE),"")</f>
        <v/>
      </c>
    </row>
    <row r="8" spans="1:10" ht="18" customHeight="1" x14ac:dyDescent="0.3">
      <c r="D8" t="str">
        <f>IFERROR(VLOOKUP(C8,Catalog!$A:$B,2,FALSE),"")</f>
        <v/>
      </c>
    </row>
    <row r="9" spans="1:10" ht="18" customHeight="1" x14ac:dyDescent="0.3">
      <c r="D9" t="str">
        <f>IFERROR(VLOOKUP(C9,Catalog!$A:$B,2,FALSE),"")</f>
        <v/>
      </c>
    </row>
    <row r="10" spans="1:10" ht="18" customHeight="1" x14ac:dyDescent="0.3">
      <c r="D10" t="str">
        <f>IFERROR(VLOOKUP(C10,Catalog!$A:$B,2,FALSE),"")</f>
        <v/>
      </c>
    </row>
    <row r="11" spans="1:10" ht="18" customHeight="1" x14ac:dyDescent="0.3">
      <c r="D11" t="str">
        <f>IFERROR(VLOOKUP(C11,Catalog!$A:$B,2,FALSE),"")</f>
        <v/>
      </c>
    </row>
    <row r="12" spans="1:10" ht="18" customHeight="1" x14ac:dyDescent="0.3">
      <c r="D12" t="str">
        <f>IFERROR(VLOOKUP(C12,Catalog!$A:$B,2,FALSE),"")</f>
        <v/>
      </c>
    </row>
    <row r="13" spans="1:10" ht="18" customHeight="1" x14ac:dyDescent="0.3">
      <c r="D13" t="str">
        <f>IFERROR(VLOOKUP(C13,Catalog!$A:$B,2,FALSE),"")</f>
        <v/>
      </c>
    </row>
    <row r="14" spans="1:10" ht="18" customHeight="1" x14ac:dyDescent="0.3">
      <c r="D14" t="str">
        <f>IFERROR(VLOOKUP(C14,Catalog!$A:$B,2,FALSE),"")</f>
        <v/>
      </c>
    </row>
    <row r="15" spans="1:10" ht="18" customHeight="1" x14ac:dyDescent="0.3">
      <c r="D15" t="str">
        <f>IFERROR(VLOOKUP(C15,Catalog!$A:$B,2,FALSE),"")</f>
        <v/>
      </c>
    </row>
    <row r="16" spans="1:10" ht="18" customHeight="1" x14ac:dyDescent="0.3">
      <c r="D16" t="str">
        <f>IFERROR(VLOOKUP(C16,Catalog!$A:$B,2,FALSE),"")</f>
        <v/>
      </c>
    </row>
    <row r="17" spans="4:4" ht="18" customHeight="1" x14ac:dyDescent="0.3">
      <c r="D17" t="str">
        <f>IFERROR(VLOOKUP(C17,Catalog!$A:$B,2,FALSE),"")</f>
        <v/>
      </c>
    </row>
    <row r="18" spans="4:4" ht="18" customHeight="1" x14ac:dyDescent="0.3">
      <c r="D18" t="str">
        <f>IFERROR(VLOOKUP(C18,Catalog!$A:$B,2,FALSE),"")</f>
        <v/>
      </c>
    </row>
    <row r="19" spans="4:4" ht="18" customHeight="1" x14ac:dyDescent="0.3">
      <c r="D19" t="str">
        <f>IFERROR(VLOOKUP(C19,Catalog!$A:$B,2,FALSE),"")</f>
        <v/>
      </c>
    </row>
    <row r="20" spans="4:4" ht="18" customHeight="1" x14ac:dyDescent="0.3">
      <c r="D20" t="str">
        <f>IFERROR(VLOOKUP(C20,Catalog!$A:$B,2,FALSE),"")</f>
        <v/>
      </c>
    </row>
    <row r="21" spans="4:4" ht="18" customHeight="1" x14ac:dyDescent="0.3">
      <c r="D21" t="str">
        <f>IFERROR(VLOOKUP(C21,Catalog!$A:$B,2,FALSE),"")</f>
        <v/>
      </c>
    </row>
    <row r="22" spans="4:4" ht="18" customHeight="1" x14ac:dyDescent="0.3">
      <c r="D22" t="str">
        <f>IFERROR(VLOOKUP(C22,Catalog!$A:$B,2,FALSE),"")</f>
        <v/>
      </c>
    </row>
    <row r="23" spans="4:4" ht="18" customHeight="1" x14ac:dyDescent="0.3">
      <c r="D23" t="str">
        <f>IFERROR(VLOOKUP(C23,Catalog!$A:$B,2,FALSE),"")</f>
        <v/>
      </c>
    </row>
    <row r="24" spans="4:4" ht="18" customHeight="1" x14ac:dyDescent="0.3">
      <c r="D24" t="str">
        <f>IFERROR(VLOOKUP(C24,Catalog!$A:$B,2,FALSE),"")</f>
        <v/>
      </c>
    </row>
    <row r="25" spans="4:4" ht="18" customHeight="1" x14ac:dyDescent="0.3">
      <c r="D25" t="str">
        <f>IFERROR(VLOOKUP(C25,Catalog!$A:$B,2,FALSE),"")</f>
        <v/>
      </c>
    </row>
    <row r="26" spans="4:4" ht="18" customHeight="1" x14ac:dyDescent="0.3">
      <c r="D26" t="str">
        <f>IFERROR(VLOOKUP(C26,Catalog!$A:$B,2,FALSE),"")</f>
        <v/>
      </c>
    </row>
    <row r="27" spans="4:4" ht="18" customHeight="1" x14ac:dyDescent="0.3">
      <c r="D27" t="str">
        <f>IFERROR(VLOOKUP(C27,Catalog!$A:$B,2,FALSE),"")</f>
        <v/>
      </c>
    </row>
    <row r="28" spans="4:4" ht="18" customHeight="1" x14ac:dyDescent="0.3">
      <c r="D28" t="str">
        <f>IFERROR(VLOOKUP(C28,Catalog!$A:$B,2,FALSE),"")</f>
        <v/>
      </c>
    </row>
    <row r="29" spans="4:4" ht="18" customHeight="1" x14ac:dyDescent="0.3">
      <c r="D29" t="str">
        <f>IFERROR(VLOOKUP(C29,Catalog!$A:$B,2,FALSE),"")</f>
        <v/>
      </c>
    </row>
    <row r="30" spans="4:4" ht="18" customHeight="1" x14ac:dyDescent="0.3">
      <c r="D30" t="str">
        <f>IFERROR(VLOOKUP(C30,Catalog!$A:$B,2,FALSE),"")</f>
        <v/>
      </c>
    </row>
    <row r="31" spans="4:4" ht="18" customHeight="1" x14ac:dyDescent="0.3">
      <c r="D31" t="str">
        <f>IFERROR(VLOOKUP(C31,Catalog!$A:$B,2,FALSE),"")</f>
        <v/>
      </c>
    </row>
    <row r="32" spans="4:4" ht="18" customHeight="1" x14ac:dyDescent="0.3">
      <c r="D32" t="str">
        <f>IFERROR(VLOOKUP(C32,Catalog!$A:$B,2,FALSE),"")</f>
        <v/>
      </c>
    </row>
    <row r="33" spans="4:4" ht="18" customHeight="1" x14ac:dyDescent="0.3">
      <c r="D33" t="str">
        <f>IFERROR(VLOOKUP(C33,Catalog!$A:$B,2,FALSE),"")</f>
        <v/>
      </c>
    </row>
    <row r="34" spans="4:4" ht="18" customHeight="1" x14ac:dyDescent="0.3">
      <c r="D34" t="str">
        <f>IFERROR(VLOOKUP(C34,Catalog!$A:$B,2,FALSE),"")</f>
        <v/>
      </c>
    </row>
    <row r="35" spans="4:4" ht="18" customHeight="1" x14ac:dyDescent="0.3">
      <c r="D35" t="str">
        <f>IFERROR(VLOOKUP(C35,Catalog!$A:$B,2,FALSE),"")</f>
        <v/>
      </c>
    </row>
    <row r="36" spans="4:4" ht="18" customHeight="1" x14ac:dyDescent="0.3">
      <c r="D36" t="str">
        <f>IFERROR(VLOOKUP(C36,Catalog!$A:$B,2,FALSE),"")</f>
        <v/>
      </c>
    </row>
    <row r="37" spans="4:4" ht="18" customHeight="1" x14ac:dyDescent="0.3">
      <c r="D37" t="str">
        <f>IFERROR(VLOOKUP(C37,Catalog!$A:$B,2,FALSE),"")</f>
        <v/>
      </c>
    </row>
    <row r="38" spans="4:4" ht="18" customHeight="1" x14ac:dyDescent="0.3">
      <c r="D38" t="str">
        <f>IFERROR(VLOOKUP(C38,Catalog!$A:$B,2,FALSE),"")</f>
        <v/>
      </c>
    </row>
    <row r="39" spans="4:4" ht="18" customHeight="1" x14ac:dyDescent="0.3">
      <c r="D39" t="str">
        <f>IFERROR(VLOOKUP(C39,Catalog!$A:$B,2,FALSE),"")</f>
        <v/>
      </c>
    </row>
    <row r="40" spans="4:4" ht="18" customHeight="1" x14ac:dyDescent="0.3">
      <c r="D40" t="str">
        <f>IFERROR(VLOOKUP(C40,Catalog!$A:$B,2,FALSE),"")</f>
        <v/>
      </c>
    </row>
    <row r="41" spans="4:4" ht="18" customHeight="1" x14ac:dyDescent="0.3">
      <c r="D41" t="str">
        <f>IFERROR(VLOOKUP(C41,Catalog!$A:$B,2,FALSE),"")</f>
        <v/>
      </c>
    </row>
    <row r="42" spans="4:4" ht="18" customHeight="1" x14ac:dyDescent="0.3">
      <c r="D42" t="str">
        <f>IFERROR(VLOOKUP(C42,Catalog!$A:$B,2,FALSE),"")</f>
        <v/>
      </c>
    </row>
    <row r="43" spans="4:4" ht="18" customHeight="1" x14ac:dyDescent="0.3">
      <c r="D43" t="str">
        <f>IFERROR(VLOOKUP(C43,Catalog!$A:$B,2,FALSE),"")</f>
        <v/>
      </c>
    </row>
    <row r="44" spans="4:4" ht="18" customHeight="1" x14ac:dyDescent="0.3">
      <c r="D44" t="str">
        <f>IFERROR(VLOOKUP(C44,Catalog!$A:$B,2,FALSE),"")</f>
        <v/>
      </c>
    </row>
    <row r="45" spans="4:4" ht="18" customHeight="1" x14ac:dyDescent="0.3">
      <c r="D45" t="str">
        <f>IFERROR(VLOOKUP(C45,Catalog!$A:$B,2,FALSE),"")</f>
        <v/>
      </c>
    </row>
    <row r="46" spans="4:4" ht="18" customHeight="1" x14ac:dyDescent="0.3">
      <c r="D46" t="str">
        <f>IFERROR(VLOOKUP(C46,Catalog!$A:$B,2,FALSE),"")</f>
        <v/>
      </c>
    </row>
    <row r="47" spans="4:4" ht="18" customHeight="1" x14ac:dyDescent="0.3">
      <c r="D47" t="str">
        <f>IFERROR(VLOOKUP(C47,Catalog!$A:$B,2,FALSE),"")</f>
        <v/>
      </c>
    </row>
    <row r="48" spans="4:4" ht="18" customHeight="1" x14ac:dyDescent="0.3">
      <c r="D48" t="str">
        <f>IFERROR(VLOOKUP(C48,Catalog!$A:$B,2,FALSE),"")</f>
        <v/>
      </c>
    </row>
    <row r="49" spans="4:4" ht="18" customHeight="1" x14ac:dyDescent="0.3">
      <c r="D49" t="str">
        <f>IFERROR(VLOOKUP(C49,Catalog!$A:$B,2,FALSE),"")</f>
        <v/>
      </c>
    </row>
    <row r="50" spans="4:4" ht="18" customHeight="1" x14ac:dyDescent="0.3">
      <c r="D50" t="str">
        <f>IFERROR(VLOOKUP(C50,Catalog!$A:$B,2,FALSE),"")</f>
        <v/>
      </c>
    </row>
    <row r="51" spans="4:4" ht="18" customHeight="1" x14ac:dyDescent="0.3">
      <c r="D51" t="str">
        <f>IFERROR(VLOOKUP(C51,Catalog!$A:$B,2,FALSE),"")</f>
        <v/>
      </c>
    </row>
  </sheetData>
  <dataValidations count="6">
    <dataValidation type="list" allowBlank="1" showInputMessage="1" showErrorMessage="1" sqref="A2 A3 A4 A5 A6 A7 A8 A9 A10 A11 A12 A13 A14 A15 A16 A17 A18 A19 A20 A21 A22 A23 A24 A25 A26 A27 A28 A29 A30 A31 A32 A33 A34 A35 A36 A37 A38 A39 A40 A41 A42 A43 A44 A45 A46 A47 A48 A49 A50 A51" xr:uid="{00000000-0002-0000-0400-000000000000}">
      <formula1>ItemCategories</formula1>
    </dataValidation>
    <dataValidation type="list" allowBlank="1" showInputMessage="1" showErrorMessage="1" sqref="G2 G3 G4 G5 G6 G7 G8 G9 G10 G11 G12 G13 G14 G15 G16 G17 G18 G19 G20 G21 G22 G23 G24 G25 G26 G27 G28 G29 G30 G31 G32 G33 G34 G35 G36 G37 G38 G39 G40 G41 G42 G43 G44 G45 G46 G47 G48 G49 G50 G51" xr:uid="{00000000-0002-0000-0400-000001000000}">
      <formula1>Finishes</formula1>
    </dataValidation>
    <dataValidation type="list" allowBlank="1" showInputMessage="1" showErrorMessage="1" sqref="H2 H3 H4 H5 H6 H7 H8 H9 H10 H11 H12 H13 H14 H15 H16 H17 H18 H19 H20 H21 H22 H23 H24 H25 H26 H27 H28 H29 H30 H31 H32 H33 H34 H35 H36 H37 H38 H39 H40 H41 H42 H43 H44 H45 H46 H47 H48 H49 H50 H51" xr:uid="{00000000-0002-0000-0400-000002000000}">
      <formula1>Handing</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xr:uid="{00000000-0002-0000-0400-000003000000}">
      <formula1>FireRatings</formula1>
    </dataValidation>
    <dataValidation type="whole" operator="greaterThanOrEqual" allowBlank="1" showInputMessage="1" showErrorMessage="1" sqref="E2 E3 E4 E5 E6 E7 E8 E9 E10 E11 E12 E13 E14 E15 E16 E17 E18 E19 E20 E21 E22 E23 E24 E25 E26 E27 E28 E29 E30 E31 E32 E33 E34 E35 E36 E37 E38 E39 E40 E41 E42 E43 E44 E45 E46 E47 E48 E49 E50 E51" xr:uid="{00000000-0002-0000-0400-000004000000}">
      <formula1>0</formula1>
    </dataValidation>
    <dataValidation type="list" allowBlank="1" showInputMessage="1" showErrorMessage="1" sqref="B2:B51" xr:uid="{00000000-0002-0000-0400-000005000000}">
      <formula1>INDIRECT(SUBSTITUTE(SUBSTITUTE(SUBSTITUTE(SUBSTITUTE(SUBSTITUTE(SUBSTITUTE(SUBSTITUTE(SUBSTITUTE(SUBSTITUTE(SUBSTITUTE($A2," ","_"),"/","_"),"-","_"),"(",""),")",""),",",""),".",""),"&amp;","_"),"’",""),"'",""))</formula1>
    </dataValidation>
  </dataValidation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1"/>
  <sheetViews>
    <sheetView workbookViewId="0">
      <pane ySplit="1" topLeftCell="A2" activePane="bottomLeft" state="frozen"/>
      <selection pane="bottomLeft"/>
    </sheetView>
  </sheetViews>
  <sheetFormatPr defaultRowHeight="14.4" x14ac:dyDescent="0.3"/>
  <cols>
    <col min="1" max="10" width="20" customWidth="1"/>
  </cols>
  <sheetData>
    <row r="1" spans="1:10" ht="18" customHeight="1" x14ac:dyDescent="0.3">
      <c r="A1" t="s">
        <v>0</v>
      </c>
      <c r="B1" t="s">
        <v>1</v>
      </c>
      <c r="C1" t="s">
        <v>2</v>
      </c>
      <c r="D1" t="s">
        <v>3</v>
      </c>
      <c r="E1" t="s">
        <v>4</v>
      </c>
      <c r="F1" t="s">
        <v>5</v>
      </c>
      <c r="G1" t="s">
        <v>6</v>
      </c>
      <c r="H1" t="s">
        <v>7</v>
      </c>
      <c r="I1" t="s">
        <v>8</v>
      </c>
      <c r="J1" t="s">
        <v>9</v>
      </c>
    </row>
    <row r="2" spans="1:10" ht="18" customHeight="1" x14ac:dyDescent="0.3">
      <c r="D2" t="str">
        <f>IFERROR(VLOOKUP(C2,Catalog!$A:$B,2,FALSE),"")</f>
        <v/>
      </c>
    </row>
    <row r="3" spans="1:10" ht="18" customHeight="1" x14ac:dyDescent="0.3">
      <c r="D3" t="str">
        <f>IFERROR(VLOOKUP(C3,Catalog!$A:$B,2,FALSE),"")</f>
        <v/>
      </c>
    </row>
    <row r="4" spans="1:10" ht="18" customHeight="1" x14ac:dyDescent="0.3">
      <c r="D4" t="str">
        <f>IFERROR(VLOOKUP(C4,Catalog!$A:$B,2,FALSE),"")</f>
        <v/>
      </c>
    </row>
    <row r="5" spans="1:10" ht="18" customHeight="1" x14ac:dyDescent="0.3">
      <c r="D5" t="str">
        <f>IFERROR(VLOOKUP(C5,Catalog!$A:$B,2,FALSE),"")</f>
        <v/>
      </c>
    </row>
    <row r="6" spans="1:10" ht="18" customHeight="1" x14ac:dyDescent="0.3">
      <c r="D6" t="str">
        <f>IFERROR(VLOOKUP(C6,Catalog!$A:$B,2,FALSE),"")</f>
        <v/>
      </c>
    </row>
    <row r="7" spans="1:10" ht="18" customHeight="1" x14ac:dyDescent="0.3">
      <c r="D7" t="str">
        <f>IFERROR(VLOOKUP(C7,Catalog!$A:$B,2,FALSE),"")</f>
        <v/>
      </c>
    </row>
    <row r="8" spans="1:10" ht="18" customHeight="1" x14ac:dyDescent="0.3">
      <c r="D8" t="str">
        <f>IFERROR(VLOOKUP(C8,Catalog!$A:$B,2,FALSE),"")</f>
        <v/>
      </c>
    </row>
    <row r="9" spans="1:10" ht="18" customHeight="1" x14ac:dyDescent="0.3">
      <c r="D9" t="str">
        <f>IFERROR(VLOOKUP(C9,Catalog!$A:$B,2,FALSE),"")</f>
        <v/>
      </c>
    </row>
    <row r="10" spans="1:10" ht="18" customHeight="1" x14ac:dyDescent="0.3">
      <c r="D10" t="str">
        <f>IFERROR(VLOOKUP(C10,Catalog!$A:$B,2,FALSE),"")</f>
        <v/>
      </c>
    </row>
    <row r="11" spans="1:10" ht="18" customHeight="1" x14ac:dyDescent="0.3">
      <c r="D11" t="str">
        <f>IFERROR(VLOOKUP(C11,Catalog!$A:$B,2,FALSE),"")</f>
        <v/>
      </c>
    </row>
    <row r="12" spans="1:10" ht="18" customHeight="1" x14ac:dyDescent="0.3">
      <c r="D12" t="str">
        <f>IFERROR(VLOOKUP(C12,Catalog!$A:$B,2,FALSE),"")</f>
        <v/>
      </c>
    </row>
    <row r="13" spans="1:10" ht="18" customHeight="1" x14ac:dyDescent="0.3">
      <c r="D13" t="str">
        <f>IFERROR(VLOOKUP(C13,Catalog!$A:$B,2,FALSE),"")</f>
        <v/>
      </c>
    </row>
    <row r="14" spans="1:10" ht="18" customHeight="1" x14ac:dyDescent="0.3">
      <c r="D14" t="str">
        <f>IFERROR(VLOOKUP(C14,Catalog!$A:$B,2,FALSE),"")</f>
        <v/>
      </c>
    </row>
    <row r="15" spans="1:10" ht="18" customHeight="1" x14ac:dyDescent="0.3">
      <c r="D15" t="str">
        <f>IFERROR(VLOOKUP(C15,Catalog!$A:$B,2,FALSE),"")</f>
        <v/>
      </c>
    </row>
    <row r="16" spans="1:10" ht="18" customHeight="1" x14ac:dyDescent="0.3">
      <c r="D16" t="str">
        <f>IFERROR(VLOOKUP(C16,Catalog!$A:$B,2,FALSE),"")</f>
        <v/>
      </c>
    </row>
    <row r="17" spans="4:4" ht="18" customHeight="1" x14ac:dyDescent="0.3">
      <c r="D17" t="str">
        <f>IFERROR(VLOOKUP(C17,Catalog!$A:$B,2,FALSE),"")</f>
        <v/>
      </c>
    </row>
    <row r="18" spans="4:4" ht="18" customHeight="1" x14ac:dyDescent="0.3">
      <c r="D18" t="str">
        <f>IFERROR(VLOOKUP(C18,Catalog!$A:$B,2,FALSE),"")</f>
        <v/>
      </c>
    </row>
    <row r="19" spans="4:4" ht="18" customHeight="1" x14ac:dyDescent="0.3">
      <c r="D19" t="str">
        <f>IFERROR(VLOOKUP(C19,Catalog!$A:$B,2,FALSE),"")</f>
        <v/>
      </c>
    </row>
    <row r="20" spans="4:4" ht="18" customHeight="1" x14ac:dyDescent="0.3">
      <c r="D20" t="str">
        <f>IFERROR(VLOOKUP(C20,Catalog!$A:$B,2,FALSE),"")</f>
        <v/>
      </c>
    </row>
    <row r="21" spans="4:4" ht="18" customHeight="1" x14ac:dyDescent="0.3">
      <c r="D21" t="str">
        <f>IFERROR(VLOOKUP(C21,Catalog!$A:$B,2,FALSE),"")</f>
        <v/>
      </c>
    </row>
    <row r="22" spans="4:4" ht="18" customHeight="1" x14ac:dyDescent="0.3">
      <c r="D22" t="str">
        <f>IFERROR(VLOOKUP(C22,Catalog!$A:$B,2,FALSE),"")</f>
        <v/>
      </c>
    </row>
    <row r="23" spans="4:4" ht="18" customHeight="1" x14ac:dyDescent="0.3">
      <c r="D23" t="str">
        <f>IFERROR(VLOOKUP(C23,Catalog!$A:$B,2,FALSE),"")</f>
        <v/>
      </c>
    </row>
    <row r="24" spans="4:4" ht="18" customHeight="1" x14ac:dyDescent="0.3">
      <c r="D24" t="str">
        <f>IFERROR(VLOOKUP(C24,Catalog!$A:$B,2,FALSE),"")</f>
        <v/>
      </c>
    </row>
    <row r="25" spans="4:4" ht="18" customHeight="1" x14ac:dyDescent="0.3">
      <c r="D25" t="str">
        <f>IFERROR(VLOOKUP(C25,Catalog!$A:$B,2,FALSE),"")</f>
        <v/>
      </c>
    </row>
    <row r="26" spans="4:4" ht="18" customHeight="1" x14ac:dyDescent="0.3">
      <c r="D26" t="str">
        <f>IFERROR(VLOOKUP(C26,Catalog!$A:$B,2,FALSE),"")</f>
        <v/>
      </c>
    </row>
    <row r="27" spans="4:4" ht="18" customHeight="1" x14ac:dyDescent="0.3">
      <c r="D27" t="str">
        <f>IFERROR(VLOOKUP(C27,Catalog!$A:$B,2,FALSE),"")</f>
        <v/>
      </c>
    </row>
    <row r="28" spans="4:4" ht="18" customHeight="1" x14ac:dyDescent="0.3">
      <c r="D28" t="str">
        <f>IFERROR(VLOOKUP(C28,Catalog!$A:$B,2,FALSE),"")</f>
        <v/>
      </c>
    </row>
    <row r="29" spans="4:4" ht="18" customHeight="1" x14ac:dyDescent="0.3">
      <c r="D29" t="str">
        <f>IFERROR(VLOOKUP(C29,Catalog!$A:$B,2,FALSE),"")</f>
        <v/>
      </c>
    </row>
    <row r="30" spans="4:4" ht="18" customHeight="1" x14ac:dyDescent="0.3">
      <c r="D30" t="str">
        <f>IFERROR(VLOOKUP(C30,Catalog!$A:$B,2,FALSE),"")</f>
        <v/>
      </c>
    </row>
    <row r="31" spans="4:4" ht="18" customHeight="1" x14ac:dyDescent="0.3">
      <c r="D31" t="str">
        <f>IFERROR(VLOOKUP(C31,Catalog!$A:$B,2,FALSE),"")</f>
        <v/>
      </c>
    </row>
    <row r="32" spans="4:4" ht="18" customHeight="1" x14ac:dyDescent="0.3">
      <c r="D32" t="str">
        <f>IFERROR(VLOOKUP(C32,Catalog!$A:$B,2,FALSE),"")</f>
        <v/>
      </c>
    </row>
    <row r="33" spans="4:4" ht="18" customHeight="1" x14ac:dyDescent="0.3">
      <c r="D33" t="str">
        <f>IFERROR(VLOOKUP(C33,Catalog!$A:$B,2,FALSE),"")</f>
        <v/>
      </c>
    </row>
    <row r="34" spans="4:4" ht="18" customHeight="1" x14ac:dyDescent="0.3">
      <c r="D34" t="str">
        <f>IFERROR(VLOOKUP(C34,Catalog!$A:$B,2,FALSE),"")</f>
        <v/>
      </c>
    </row>
    <row r="35" spans="4:4" ht="18" customHeight="1" x14ac:dyDescent="0.3">
      <c r="D35" t="str">
        <f>IFERROR(VLOOKUP(C35,Catalog!$A:$B,2,FALSE),"")</f>
        <v/>
      </c>
    </row>
    <row r="36" spans="4:4" ht="18" customHeight="1" x14ac:dyDescent="0.3">
      <c r="D36" t="str">
        <f>IFERROR(VLOOKUP(C36,Catalog!$A:$B,2,FALSE),"")</f>
        <v/>
      </c>
    </row>
    <row r="37" spans="4:4" ht="18" customHeight="1" x14ac:dyDescent="0.3">
      <c r="D37" t="str">
        <f>IFERROR(VLOOKUP(C37,Catalog!$A:$B,2,FALSE),"")</f>
        <v/>
      </c>
    </row>
    <row r="38" spans="4:4" ht="18" customHeight="1" x14ac:dyDescent="0.3">
      <c r="D38" t="str">
        <f>IFERROR(VLOOKUP(C38,Catalog!$A:$B,2,FALSE),"")</f>
        <v/>
      </c>
    </row>
    <row r="39" spans="4:4" ht="18" customHeight="1" x14ac:dyDescent="0.3">
      <c r="D39" t="str">
        <f>IFERROR(VLOOKUP(C39,Catalog!$A:$B,2,FALSE),"")</f>
        <v/>
      </c>
    </row>
    <row r="40" spans="4:4" ht="18" customHeight="1" x14ac:dyDescent="0.3">
      <c r="D40" t="str">
        <f>IFERROR(VLOOKUP(C40,Catalog!$A:$B,2,FALSE),"")</f>
        <v/>
      </c>
    </row>
    <row r="41" spans="4:4" ht="18" customHeight="1" x14ac:dyDescent="0.3">
      <c r="D41" t="str">
        <f>IFERROR(VLOOKUP(C41,Catalog!$A:$B,2,FALSE),"")</f>
        <v/>
      </c>
    </row>
    <row r="42" spans="4:4" ht="18" customHeight="1" x14ac:dyDescent="0.3">
      <c r="D42" t="str">
        <f>IFERROR(VLOOKUP(C42,Catalog!$A:$B,2,FALSE),"")</f>
        <v/>
      </c>
    </row>
    <row r="43" spans="4:4" ht="18" customHeight="1" x14ac:dyDescent="0.3">
      <c r="D43" t="str">
        <f>IFERROR(VLOOKUP(C43,Catalog!$A:$B,2,FALSE),"")</f>
        <v/>
      </c>
    </row>
    <row r="44" spans="4:4" ht="18" customHeight="1" x14ac:dyDescent="0.3">
      <c r="D44" t="str">
        <f>IFERROR(VLOOKUP(C44,Catalog!$A:$B,2,FALSE),"")</f>
        <v/>
      </c>
    </row>
    <row r="45" spans="4:4" ht="18" customHeight="1" x14ac:dyDescent="0.3">
      <c r="D45" t="str">
        <f>IFERROR(VLOOKUP(C45,Catalog!$A:$B,2,FALSE),"")</f>
        <v/>
      </c>
    </row>
    <row r="46" spans="4:4" ht="18" customHeight="1" x14ac:dyDescent="0.3">
      <c r="D46" t="str">
        <f>IFERROR(VLOOKUP(C46,Catalog!$A:$B,2,FALSE),"")</f>
        <v/>
      </c>
    </row>
    <row r="47" spans="4:4" ht="18" customHeight="1" x14ac:dyDescent="0.3">
      <c r="D47" t="str">
        <f>IFERROR(VLOOKUP(C47,Catalog!$A:$B,2,FALSE),"")</f>
        <v/>
      </c>
    </row>
    <row r="48" spans="4:4" ht="18" customHeight="1" x14ac:dyDescent="0.3">
      <c r="D48" t="str">
        <f>IFERROR(VLOOKUP(C48,Catalog!$A:$B,2,FALSE),"")</f>
        <v/>
      </c>
    </row>
    <row r="49" spans="4:4" ht="18" customHeight="1" x14ac:dyDescent="0.3">
      <c r="D49" t="str">
        <f>IFERROR(VLOOKUP(C49,Catalog!$A:$B,2,FALSE),"")</f>
        <v/>
      </c>
    </row>
    <row r="50" spans="4:4" ht="18" customHeight="1" x14ac:dyDescent="0.3">
      <c r="D50" t="str">
        <f>IFERROR(VLOOKUP(C50,Catalog!$A:$B,2,FALSE),"")</f>
        <v/>
      </c>
    </row>
    <row r="51" spans="4:4" ht="18" customHeight="1" x14ac:dyDescent="0.3">
      <c r="D51" t="str">
        <f>IFERROR(VLOOKUP(C51,Catalog!$A:$B,2,FALSE),"")</f>
        <v/>
      </c>
    </row>
  </sheetData>
  <dataValidations count="6">
    <dataValidation type="list" allowBlank="1" showInputMessage="1" showErrorMessage="1" sqref="A2 A3 A4 A5 A6 A7 A8 A9 A10 A11 A12 A13 A14 A15 A16 A17 A18 A19 A20 A21 A22 A23 A24 A25 A26 A27 A28 A29 A30 A31 A32 A33 A34 A35 A36 A37 A38 A39 A40 A41 A42 A43 A44 A45 A46 A47 A48 A49 A50 A51" xr:uid="{00000000-0002-0000-0500-000000000000}">
      <formula1>ItemCategories</formula1>
    </dataValidation>
    <dataValidation type="list" allowBlank="1" showInputMessage="1" showErrorMessage="1" sqref="G2 G3 G4 G5 G6 G7 G8 G9 G10 G11 G12 G13 G14 G15 G16 G17 G18 G19 G20 G21 G22 G23 G24 G25 G26 G27 G28 G29 G30 G31 G32 G33 G34 G35 G36 G37 G38 G39 G40 G41 G42 G43 G44 G45 G46 G47 G48 G49 G50 G51" xr:uid="{00000000-0002-0000-0500-000001000000}">
      <formula1>Finishes</formula1>
    </dataValidation>
    <dataValidation type="list" allowBlank="1" showInputMessage="1" showErrorMessage="1" sqref="H2 H3 H4 H5 H6 H7 H8 H9 H10 H11 H12 H13 H14 H15 H16 H17 H18 H19 H20 H21 H22 H23 H24 H25 H26 H27 H28 H29 H30 H31 H32 H33 H34 H35 H36 H37 H38 H39 H40 H41 H42 H43 H44 H45 H46 H47 H48 H49 H50 H51" xr:uid="{00000000-0002-0000-0500-000002000000}">
      <formula1>Handing</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xr:uid="{00000000-0002-0000-0500-000003000000}">
      <formula1>FireRatings</formula1>
    </dataValidation>
    <dataValidation type="whole" operator="greaterThanOrEqual" allowBlank="1" showInputMessage="1" showErrorMessage="1" sqref="E2 E3 E4 E5 E6 E7 E8 E9 E10 E11 E12 E13 E14 E15 E16 E17 E18 E19 E20 E21 E22 E23 E24 E25 E26 E27 E28 E29 E30 E31 E32 E33 E34 E35 E36 E37 E38 E39 E40 E41 E42 E43 E44 E45 E46 E47 E48 E49 E50 E51" xr:uid="{00000000-0002-0000-0500-000004000000}">
      <formula1>0</formula1>
    </dataValidation>
    <dataValidation type="list" allowBlank="1" showInputMessage="1" showErrorMessage="1" sqref="B2:B51" xr:uid="{00000000-0002-0000-0500-000005000000}">
      <formula1>INDIRECT(SUBSTITUTE(SUBSTITUTE(SUBSTITUTE(SUBSTITUTE(SUBSTITUTE(SUBSTITUTE(SUBSTITUTE(SUBSTITUTE(SUBSTITUTE(SUBSTITUTE($A2," ","_"),"/","_"),"-","_"),"(",""),")",""),",",""),".",""),"&amp;","_"),"’",""),"'",""))</formula1>
    </dataValidation>
  </dataValidation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1"/>
  <sheetViews>
    <sheetView workbookViewId="0">
      <pane ySplit="1" topLeftCell="A2" activePane="bottomLeft" state="frozen"/>
      <selection pane="bottomLeft"/>
    </sheetView>
  </sheetViews>
  <sheetFormatPr defaultRowHeight="14.4" x14ac:dyDescent="0.3"/>
  <cols>
    <col min="1" max="10" width="20" customWidth="1"/>
  </cols>
  <sheetData>
    <row r="1" spans="1:10" ht="18" customHeight="1" x14ac:dyDescent="0.3">
      <c r="A1" t="s">
        <v>0</v>
      </c>
      <c r="B1" t="s">
        <v>1</v>
      </c>
      <c r="C1" t="s">
        <v>2</v>
      </c>
      <c r="D1" t="s">
        <v>3</v>
      </c>
      <c r="E1" t="s">
        <v>4</v>
      </c>
      <c r="F1" t="s">
        <v>5</v>
      </c>
      <c r="G1" t="s">
        <v>6</v>
      </c>
      <c r="H1" t="s">
        <v>7</v>
      </c>
      <c r="I1" t="s">
        <v>8</v>
      </c>
      <c r="J1" t="s">
        <v>9</v>
      </c>
    </row>
    <row r="2" spans="1:10" ht="18" customHeight="1" x14ac:dyDescent="0.3">
      <c r="D2" t="str">
        <f>IFERROR(VLOOKUP(C2,Catalog!$A:$B,2,FALSE),"")</f>
        <v/>
      </c>
    </row>
    <row r="3" spans="1:10" ht="18" customHeight="1" x14ac:dyDescent="0.3">
      <c r="D3" t="str">
        <f>IFERROR(VLOOKUP(C3,Catalog!$A:$B,2,FALSE),"")</f>
        <v/>
      </c>
    </row>
    <row r="4" spans="1:10" ht="18" customHeight="1" x14ac:dyDescent="0.3">
      <c r="D4" t="str">
        <f>IFERROR(VLOOKUP(C4,Catalog!$A:$B,2,FALSE),"")</f>
        <v/>
      </c>
    </row>
    <row r="5" spans="1:10" ht="18" customHeight="1" x14ac:dyDescent="0.3">
      <c r="D5" t="str">
        <f>IFERROR(VLOOKUP(C5,Catalog!$A:$B,2,FALSE),"")</f>
        <v/>
      </c>
    </row>
    <row r="6" spans="1:10" ht="18" customHeight="1" x14ac:dyDescent="0.3">
      <c r="D6" t="str">
        <f>IFERROR(VLOOKUP(C6,Catalog!$A:$B,2,FALSE),"")</f>
        <v/>
      </c>
    </row>
    <row r="7" spans="1:10" ht="18" customHeight="1" x14ac:dyDescent="0.3">
      <c r="D7" t="str">
        <f>IFERROR(VLOOKUP(C7,Catalog!$A:$B,2,FALSE),"")</f>
        <v/>
      </c>
    </row>
    <row r="8" spans="1:10" ht="18" customHeight="1" x14ac:dyDescent="0.3">
      <c r="D8" t="str">
        <f>IFERROR(VLOOKUP(C8,Catalog!$A:$B,2,FALSE),"")</f>
        <v/>
      </c>
    </row>
    <row r="9" spans="1:10" ht="18" customHeight="1" x14ac:dyDescent="0.3">
      <c r="D9" t="str">
        <f>IFERROR(VLOOKUP(C9,Catalog!$A:$B,2,FALSE),"")</f>
        <v/>
      </c>
    </row>
    <row r="10" spans="1:10" ht="18" customHeight="1" x14ac:dyDescent="0.3">
      <c r="D10" t="str">
        <f>IFERROR(VLOOKUP(C10,Catalog!$A:$B,2,FALSE),"")</f>
        <v/>
      </c>
    </row>
    <row r="11" spans="1:10" ht="18" customHeight="1" x14ac:dyDescent="0.3">
      <c r="D11" t="str">
        <f>IFERROR(VLOOKUP(C11,Catalog!$A:$B,2,FALSE),"")</f>
        <v/>
      </c>
    </row>
    <row r="12" spans="1:10" ht="18" customHeight="1" x14ac:dyDescent="0.3">
      <c r="D12" t="str">
        <f>IFERROR(VLOOKUP(C12,Catalog!$A:$B,2,FALSE),"")</f>
        <v/>
      </c>
    </row>
    <row r="13" spans="1:10" ht="18" customHeight="1" x14ac:dyDescent="0.3">
      <c r="D13" t="str">
        <f>IFERROR(VLOOKUP(C13,Catalog!$A:$B,2,FALSE),"")</f>
        <v/>
      </c>
    </row>
    <row r="14" spans="1:10" ht="18" customHeight="1" x14ac:dyDescent="0.3">
      <c r="D14" t="str">
        <f>IFERROR(VLOOKUP(C14,Catalog!$A:$B,2,FALSE),"")</f>
        <v/>
      </c>
    </row>
    <row r="15" spans="1:10" ht="18" customHeight="1" x14ac:dyDescent="0.3">
      <c r="D15" t="str">
        <f>IFERROR(VLOOKUP(C15,Catalog!$A:$B,2,FALSE),"")</f>
        <v/>
      </c>
    </row>
    <row r="16" spans="1:10" ht="18" customHeight="1" x14ac:dyDescent="0.3">
      <c r="D16" t="str">
        <f>IFERROR(VLOOKUP(C16,Catalog!$A:$B,2,FALSE),"")</f>
        <v/>
      </c>
    </row>
    <row r="17" spans="4:4" ht="18" customHeight="1" x14ac:dyDescent="0.3">
      <c r="D17" t="str">
        <f>IFERROR(VLOOKUP(C17,Catalog!$A:$B,2,FALSE),"")</f>
        <v/>
      </c>
    </row>
    <row r="18" spans="4:4" ht="18" customHeight="1" x14ac:dyDescent="0.3">
      <c r="D18" t="str">
        <f>IFERROR(VLOOKUP(C18,Catalog!$A:$B,2,FALSE),"")</f>
        <v/>
      </c>
    </row>
    <row r="19" spans="4:4" ht="18" customHeight="1" x14ac:dyDescent="0.3">
      <c r="D19" t="str">
        <f>IFERROR(VLOOKUP(C19,Catalog!$A:$B,2,FALSE),"")</f>
        <v/>
      </c>
    </row>
    <row r="20" spans="4:4" ht="18" customHeight="1" x14ac:dyDescent="0.3">
      <c r="D20" t="str">
        <f>IFERROR(VLOOKUP(C20,Catalog!$A:$B,2,FALSE),"")</f>
        <v/>
      </c>
    </row>
    <row r="21" spans="4:4" ht="18" customHeight="1" x14ac:dyDescent="0.3">
      <c r="D21" t="str">
        <f>IFERROR(VLOOKUP(C21,Catalog!$A:$B,2,FALSE),"")</f>
        <v/>
      </c>
    </row>
    <row r="22" spans="4:4" ht="18" customHeight="1" x14ac:dyDescent="0.3">
      <c r="D22" t="str">
        <f>IFERROR(VLOOKUP(C22,Catalog!$A:$B,2,FALSE),"")</f>
        <v/>
      </c>
    </row>
    <row r="23" spans="4:4" ht="18" customHeight="1" x14ac:dyDescent="0.3">
      <c r="D23" t="str">
        <f>IFERROR(VLOOKUP(C23,Catalog!$A:$B,2,FALSE),"")</f>
        <v/>
      </c>
    </row>
    <row r="24" spans="4:4" ht="18" customHeight="1" x14ac:dyDescent="0.3">
      <c r="D24" t="str">
        <f>IFERROR(VLOOKUP(C24,Catalog!$A:$B,2,FALSE),"")</f>
        <v/>
      </c>
    </row>
    <row r="25" spans="4:4" ht="18" customHeight="1" x14ac:dyDescent="0.3">
      <c r="D25" t="str">
        <f>IFERROR(VLOOKUP(C25,Catalog!$A:$B,2,FALSE),"")</f>
        <v/>
      </c>
    </row>
    <row r="26" spans="4:4" ht="18" customHeight="1" x14ac:dyDescent="0.3">
      <c r="D26" t="str">
        <f>IFERROR(VLOOKUP(C26,Catalog!$A:$B,2,FALSE),"")</f>
        <v/>
      </c>
    </row>
    <row r="27" spans="4:4" ht="18" customHeight="1" x14ac:dyDescent="0.3">
      <c r="D27" t="str">
        <f>IFERROR(VLOOKUP(C27,Catalog!$A:$B,2,FALSE),"")</f>
        <v/>
      </c>
    </row>
    <row r="28" spans="4:4" ht="18" customHeight="1" x14ac:dyDescent="0.3">
      <c r="D28" t="str">
        <f>IFERROR(VLOOKUP(C28,Catalog!$A:$B,2,FALSE),"")</f>
        <v/>
      </c>
    </row>
    <row r="29" spans="4:4" ht="18" customHeight="1" x14ac:dyDescent="0.3">
      <c r="D29" t="str">
        <f>IFERROR(VLOOKUP(C29,Catalog!$A:$B,2,FALSE),"")</f>
        <v/>
      </c>
    </row>
    <row r="30" spans="4:4" ht="18" customHeight="1" x14ac:dyDescent="0.3">
      <c r="D30" t="str">
        <f>IFERROR(VLOOKUP(C30,Catalog!$A:$B,2,FALSE),"")</f>
        <v/>
      </c>
    </row>
    <row r="31" spans="4:4" ht="18" customHeight="1" x14ac:dyDescent="0.3">
      <c r="D31" t="str">
        <f>IFERROR(VLOOKUP(C31,Catalog!$A:$B,2,FALSE),"")</f>
        <v/>
      </c>
    </row>
    <row r="32" spans="4:4" ht="18" customHeight="1" x14ac:dyDescent="0.3">
      <c r="D32" t="str">
        <f>IFERROR(VLOOKUP(C32,Catalog!$A:$B,2,FALSE),"")</f>
        <v/>
      </c>
    </row>
    <row r="33" spans="4:4" ht="18" customHeight="1" x14ac:dyDescent="0.3">
      <c r="D33" t="str">
        <f>IFERROR(VLOOKUP(C33,Catalog!$A:$B,2,FALSE),"")</f>
        <v/>
      </c>
    </row>
    <row r="34" spans="4:4" ht="18" customHeight="1" x14ac:dyDescent="0.3">
      <c r="D34" t="str">
        <f>IFERROR(VLOOKUP(C34,Catalog!$A:$B,2,FALSE),"")</f>
        <v/>
      </c>
    </row>
    <row r="35" spans="4:4" ht="18" customHeight="1" x14ac:dyDescent="0.3">
      <c r="D35" t="str">
        <f>IFERROR(VLOOKUP(C35,Catalog!$A:$B,2,FALSE),"")</f>
        <v/>
      </c>
    </row>
    <row r="36" spans="4:4" ht="18" customHeight="1" x14ac:dyDescent="0.3">
      <c r="D36" t="str">
        <f>IFERROR(VLOOKUP(C36,Catalog!$A:$B,2,FALSE),"")</f>
        <v/>
      </c>
    </row>
    <row r="37" spans="4:4" ht="18" customHeight="1" x14ac:dyDescent="0.3">
      <c r="D37" t="str">
        <f>IFERROR(VLOOKUP(C37,Catalog!$A:$B,2,FALSE),"")</f>
        <v/>
      </c>
    </row>
    <row r="38" spans="4:4" ht="18" customHeight="1" x14ac:dyDescent="0.3">
      <c r="D38" t="str">
        <f>IFERROR(VLOOKUP(C38,Catalog!$A:$B,2,FALSE),"")</f>
        <v/>
      </c>
    </row>
    <row r="39" spans="4:4" ht="18" customHeight="1" x14ac:dyDescent="0.3">
      <c r="D39" t="str">
        <f>IFERROR(VLOOKUP(C39,Catalog!$A:$B,2,FALSE),"")</f>
        <v/>
      </c>
    </row>
    <row r="40" spans="4:4" ht="18" customHeight="1" x14ac:dyDescent="0.3">
      <c r="D40" t="str">
        <f>IFERROR(VLOOKUP(C40,Catalog!$A:$B,2,FALSE),"")</f>
        <v/>
      </c>
    </row>
    <row r="41" spans="4:4" ht="18" customHeight="1" x14ac:dyDescent="0.3">
      <c r="D41" t="str">
        <f>IFERROR(VLOOKUP(C41,Catalog!$A:$B,2,FALSE),"")</f>
        <v/>
      </c>
    </row>
    <row r="42" spans="4:4" ht="18" customHeight="1" x14ac:dyDescent="0.3">
      <c r="D42" t="str">
        <f>IFERROR(VLOOKUP(C42,Catalog!$A:$B,2,FALSE),"")</f>
        <v/>
      </c>
    </row>
    <row r="43" spans="4:4" ht="18" customHeight="1" x14ac:dyDescent="0.3">
      <c r="D43" t="str">
        <f>IFERROR(VLOOKUP(C43,Catalog!$A:$B,2,FALSE),"")</f>
        <v/>
      </c>
    </row>
    <row r="44" spans="4:4" ht="18" customHeight="1" x14ac:dyDescent="0.3">
      <c r="D44" t="str">
        <f>IFERROR(VLOOKUP(C44,Catalog!$A:$B,2,FALSE),"")</f>
        <v/>
      </c>
    </row>
    <row r="45" spans="4:4" ht="18" customHeight="1" x14ac:dyDescent="0.3">
      <c r="D45" t="str">
        <f>IFERROR(VLOOKUP(C45,Catalog!$A:$B,2,FALSE),"")</f>
        <v/>
      </c>
    </row>
    <row r="46" spans="4:4" ht="18" customHeight="1" x14ac:dyDescent="0.3">
      <c r="D46" t="str">
        <f>IFERROR(VLOOKUP(C46,Catalog!$A:$B,2,FALSE),"")</f>
        <v/>
      </c>
    </row>
    <row r="47" spans="4:4" ht="18" customHeight="1" x14ac:dyDescent="0.3">
      <c r="D47" t="str">
        <f>IFERROR(VLOOKUP(C47,Catalog!$A:$B,2,FALSE),"")</f>
        <v/>
      </c>
    </row>
    <row r="48" spans="4:4" ht="18" customHeight="1" x14ac:dyDescent="0.3">
      <c r="D48" t="str">
        <f>IFERROR(VLOOKUP(C48,Catalog!$A:$B,2,FALSE),"")</f>
        <v/>
      </c>
    </row>
    <row r="49" spans="4:4" ht="18" customHeight="1" x14ac:dyDescent="0.3">
      <c r="D49" t="str">
        <f>IFERROR(VLOOKUP(C49,Catalog!$A:$B,2,FALSE),"")</f>
        <v/>
      </c>
    </row>
    <row r="50" spans="4:4" ht="18" customHeight="1" x14ac:dyDescent="0.3">
      <c r="D50" t="str">
        <f>IFERROR(VLOOKUP(C50,Catalog!$A:$B,2,FALSE),"")</f>
        <v/>
      </c>
    </row>
    <row r="51" spans="4:4" ht="18" customHeight="1" x14ac:dyDescent="0.3">
      <c r="D51" t="str">
        <f>IFERROR(VLOOKUP(C51,Catalog!$A:$B,2,FALSE),"")</f>
        <v/>
      </c>
    </row>
  </sheetData>
  <dataValidations count="6">
    <dataValidation type="list" allowBlank="1" showInputMessage="1" showErrorMessage="1" sqref="A2 A3 A4 A5 A6 A7 A8 A9 A10 A11 A12 A13 A14 A15 A16 A17 A18 A19 A20 A21 A22 A23 A24 A25 A26 A27 A28 A29 A30 A31 A32 A33 A34 A35 A36 A37 A38 A39 A40 A41 A42 A43 A44 A45 A46 A47 A48 A49 A50 A51" xr:uid="{00000000-0002-0000-0600-000000000000}">
      <formula1>ItemCategories</formula1>
    </dataValidation>
    <dataValidation type="list" allowBlank="1" showInputMessage="1" showErrorMessage="1" sqref="G2 G3 G4 G5 G6 G7 G8 G9 G10 G11 G12 G13 G14 G15 G16 G17 G18 G19 G20 G21 G22 G23 G24 G25 G26 G27 G28 G29 G30 G31 G32 G33 G34 G35 G36 G37 G38 G39 G40 G41 G42 G43 G44 G45 G46 G47 G48 G49 G50 G51" xr:uid="{00000000-0002-0000-0600-000001000000}">
      <formula1>Finishes</formula1>
    </dataValidation>
    <dataValidation type="list" allowBlank="1" showInputMessage="1" showErrorMessage="1" sqref="H2 H3 H4 H5 H6 H7 H8 H9 H10 H11 H12 H13 H14 H15 H16 H17 H18 H19 H20 H21 H22 H23 H24 H25 H26 H27 H28 H29 H30 H31 H32 H33 H34 H35 H36 H37 H38 H39 H40 H41 H42 H43 H44 H45 H46 H47 H48 H49 H50 H51" xr:uid="{00000000-0002-0000-0600-000002000000}">
      <formula1>Handing</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xr:uid="{00000000-0002-0000-0600-000003000000}">
      <formula1>FireRatings</formula1>
    </dataValidation>
    <dataValidation type="whole" operator="greaterThanOrEqual" allowBlank="1" showInputMessage="1" showErrorMessage="1" sqref="E2 E3 E4 E5 E6 E7 E8 E9 E10 E11 E12 E13 E14 E15 E16 E17 E18 E19 E20 E21 E22 E23 E24 E25 E26 E27 E28 E29 E30 E31 E32 E33 E34 E35 E36 E37 E38 E39 E40 E41 E42 E43 E44 E45 E46 E47 E48 E49 E50 E51" xr:uid="{00000000-0002-0000-0600-000004000000}">
      <formula1>0</formula1>
    </dataValidation>
    <dataValidation type="list" allowBlank="1" showInputMessage="1" showErrorMessage="1" sqref="B2:B51" xr:uid="{00000000-0002-0000-0600-000005000000}">
      <formula1>INDIRECT(SUBSTITUTE(SUBSTITUTE(SUBSTITUTE(SUBSTITUTE(SUBSTITUTE(SUBSTITUTE(SUBSTITUTE(SUBSTITUTE(SUBSTITUTE(SUBSTITUTE($A2," ","_"),"/","_"),"-","_"),"(",""),")",""),",",""),".",""),"&amp;","_"),"’",""),"'",""))</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1"/>
  <sheetViews>
    <sheetView workbookViewId="0">
      <pane ySplit="1" topLeftCell="A2" activePane="bottomLeft" state="frozen"/>
      <selection pane="bottomLeft"/>
    </sheetView>
  </sheetViews>
  <sheetFormatPr defaultRowHeight="14.4" x14ac:dyDescent="0.3"/>
  <cols>
    <col min="1" max="10" width="20" customWidth="1"/>
  </cols>
  <sheetData>
    <row r="1" spans="1:10" ht="18" customHeight="1" x14ac:dyDescent="0.3">
      <c r="A1" t="s">
        <v>0</v>
      </c>
      <c r="B1" t="s">
        <v>1</v>
      </c>
      <c r="C1" t="s">
        <v>2</v>
      </c>
      <c r="D1" t="s">
        <v>3</v>
      </c>
      <c r="E1" t="s">
        <v>4</v>
      </c>
      <c r="F1" t="s">
        <v>5</v>
      </c>
      <c r="G1" t="s">
        <v>6</v>
      </c>
      <c r="H1" t="s">
        <v>7</v>
      </c>
      <c r="I1" t="s">
        <v>8</v>
      </c>
      <c r="J1" t="s">
        <v>9</v>
      </c>
    </row>
    <row r="2" spans="1:10" ht="18" customHeight="1" x14ac:dyDescent="0.3">
      <c r="D2" t="str">
        <f>IFERROR(VLOOKUP(C2,Catalog!$A:$B,2,FALSE),"")</f>
        <v/>
      </c>
    </row>
    <row r="3" spans="1:10" ht="18" customHeight="1" x14ac:dyDescent="0.3">
      <c r="D3" t="str">
        <f>IFERROR(VLOOKUP(C3,Catalog!$A:$B,2,FALSE),"")</f>
        <v/>
      </c>
    </row>
    <row r="4" spans="1:10" ht="18" customHeight="1" x14ac:dyDescent="0.3">
      <c r="D4" t="str">
        <f>IFERROR(VLOOKUP(C4,Catalog!$A:$B,2,FALSE),"")</f>
        <v/>
      </c>
    </row>
    <row r="5" spans="1:10" ht="18" customHeight="1" x14ac:dyDescent="0.3">
      <c r="D5" t="str">
        <f>IFERROR(VLOOKUP(C5,Catalog!$A:$B,2,FALSE),"")</f>
        <v/>
      </c>
    </row>
    <row r="6" spans="1:10" ht="18" customHeight="1" x14ac:dyDescent="0.3">
      <c r="D6" t="str">
        <f>IFERROR(VLOOKUP(C6,Catalog!$A:$B,2,FALSE),"")</f>
        <v/>
      </c>
    </row>
    <row r="7" spans="1:10" ht="18" customHeight="1" x14ac:dyDescent="0.3">
      <c r="D7" t="str">
        <f>IFERROR(VLOOKUP(C7,Catalog!$A:$B,2,FALSE),"")</f>
        <v/>
      </c>
    </row>
    <row r="8" spans="1:10" ht="18" customHeight="1" x14ac:dyDescent="0.3">
      <c r="D8" t="str">
        <f>IFERROR(VLOOKUP(C8,Catalog!$A:$B,2,FALSE),"")</f>
        <v/>
      </c>
    </row>
    <row r="9" spans="1:10" ht="18" customHeight="1" x14ac:dyDescent="0.3">
      <c r="D9" t="str">
        <f>IFERROR(VLOOKUP(C9,Catalog!$A:$B,2,FALSE),"")</f>
        <v/>
      </c>
    </row>
    <row r="10" spans="1:10" ht="18" customHeight="1" x14ac:dyDescent="0.3">
      <c r="D10" t="str">
        <f>IFERROR(VLOOKUP(C10,Catalog!$A:$B,2,FALSE),"")</f>
        <v/>
      </c>
    </row>
    <row r="11" spans="1:10" ht="18" customHeight="1" x14ac:dyDescent="0.3">
      <c r="D11" t="str">
        <f>IFERROR(VLOOKUP(C11,Catalog!$A:$B,2,FALSE),"")</f>
        <v/>
      </c>
    </row>
    <row r="12" spans="1:10" ht="18" customHeight="1" x14ac:dyDescent="0.3">
      <c r="D12" t="str">
        <f>IFERROR(VLOOKUP(C12,Catalog!$A:$B,2,FALSE),"")</f>
        <v/>
      </c>
    </row>
    <row r="13" spans="1:10" ht="18" customHeight="1" x14ac:dyDescent="0.3">
      <c r="D13" t="str">
        <f>IFERROR(VLOOKUP(C13,Catalog!$A:$B,2,FALSE),"")</f>
        <v/>
      </c>
    </row>
    <row r="14" spans="1:10" ht="18" customHeight="1" x14ac:dyDescent="0.3">
      <c r="D14" t="str">
        <f>IFERROR(VLOOKUP(C14,Catalog!$A:$B,2,FALSE),"")</f>
        <v/>
      </c>
    </row>
    <row r="15" spans="1:10" ht="18" customHeight="1" x14ac:dyDescent="0.3">
      <c r="D15" t="str">
        <f>IFERROR(VLOOKUP(C15,Catalog!$A:$B,2,FALSE),"")</f>
        <v/>
      </c>
    </row>
    <row r="16" spans="1:10" ht="18" customHeight="1" x14ac:dyDescent="0.3">
      <c r="D16" t="str">
        <f>IFERROR(VLOOKUP(C16,Catalog!$A:$B,2,FALSE),"")</f>
        <v/>
      </c>
    </row>
    <row r="17" spans="4:4" ht="18" customHeight="1" x14ac:dyDescent="0.3">
      <c r="D17" t="str">
        <f>IFERROR(VLOOKUP(C17,Catalog!$A:$B,2,FALSE),"")</f>
        <v/>
      </c>
    </row>
    <row r="18" spans="4:4" ht="18" customHeight="1" x14ac:dyDescent="0.3">
      <c r="D18" t="str">
        <f>IFERROR(VLOOKUP(C18,Catalog!$A:$B,2,FALSE),"")</f>
        <v/>
      </c>
    </row>
    <row r="19" spans="4:4" ht="18" customHeight="1" x14ac:dyDescent="0.3">
      <c r="D19" t="str">
        <f>IFERROR(VLOOKUP(C19,Catalog!$A:$B,2,FALSE),"")</f>
        <v/>
      </c>
    </row>
    <row r="20" spans="4:4" ht="18" customHeight="1" x14ac:dyDescent="0.3">
      <c r="D20" t="str">
        <f>IFERROR(VLOOKUP(C20,Catalog!$A:$B,2,FALSE),"")</f>
        <v/>
      </c>
    </row>
    <row r="21" spans="4:4" ht="18" customHeight="1" x14ac:dyDescent="0.3">
      <c r="D21" t="str">
        <f>IFERROR(VLOOKUP(C21,Catalog!$A:$B,2,FALSE),"")</f>
        <v/>
      </c>
    </row>
    <row r="22" spans="4:4" ht="18" customHeight="1" x14ac:dyDescent="0.3">
      <c r="D22" t="str">
        <f>IFERROR(VLOOKUP(C22,Catalog!$A:$B,2,FALSE),"")</f>
        <v/>
      </c>
    </row>
    <row r="23" spans="4:4" ht="18" customHeight="1" x14ac:dyDescent="0.3">
      <c r="D23" t="str">
        <f>IFERROR(VLOOKUP(C23,Catalog!$A:$B,2,FALSE),"")</f>
        <v/>
      </c>
    </row>
    <row r="24" spans="4:4" ht="18" customHeight="1" x14ac:dyDescent="0.3">
      <c r="D24" t="str">
        <f>IFERROR(VLOOKUP(C24,Catalog!$A:$B,2,FALSE),"")</f>
        <v/>
      </c>
    </row>
    <row r="25" spans="4:4" ht="18" customHeight="1" x14ac:dyDescent="0.3">
      <c r="D25" t="str">
        <f>IFERROR(VLOOKUP(C25,Catalog!$A:$B,2,FALSE),"")</f>
        <v/>
      </c>
    </row>
    <row r="26" spans="4:4" ht="18" customHeight="1" x14ac:dyDescent="0.3">
      <c r="D26" t="str">
        <f>IFERROR(VLOOKUP(C26,Catalog!$A:$B,2,FALSE),"")</f>
        <v/>
      </c>
    </row>
    <row r="27" spans="4:4" ht="18" customHeight="1" x14ac:dyDescent="0.3">
      <c r="D27" t="str">
        <f>IFERROR(VLOOKUP(C27,Catalog!$A:$B,2,FALSE),"")</f>
        <v/>
      </c>
    </row>
    <row r="28" spans="4:4" ht="18" customHeight="1" x14ac:dyDescent="0.3">
      <c r="D28" t="str">
        <f>IFERROR(VLOOKUP(C28,Catalog!$A:$B,2,FALSE),"")</f>
        <v/>
      </c>
    </row>
    <row r="29" spans="4:4" ht="18" customHeight="1" x14ac:dyDescent="0.3">
      <c r="D29" t="str">
        <f>IFERROR(VLOOKUP(C29,Catalog!$A:$B,2,FALSE),"")</f>
        <v/>
      </c>
    </row>
    <row r="30" spans="4:4" ht="18" customHeight="1" x14ac:dyDescent="0.3">
      <c r="D30" t="str">
        <f>IFERROR(VLOOKUP(C30,Catalog!$A:$B,2,FALSE),"")</f>
        <v/>
      </c>
    </row>
    <row r="31" spans="4:4" ht="18" customHeight="1" x14ac:dyDescent="0.3">
      <c r="D31" t="str">
        <f>IFERROR(VLOOKUP(C31,Catalog!$A:$B,2,FALSE),"")</f>
        <v/>
      </c>
    </row>
    <row r="32" spans="4:4" ht="18" customHeight="1" x14ac:dyDescent="0.3">
      <c r="D32" t="str">
        <f>IFERROR(VLOOKUP(C32,Catalog!$A:$B,2,FALSE),"")</f>
        <v/>
      </c>
    </row>
    <row r="33" spans="4:4" ht="18" customHeight="1" x14ac:dyDescent="0.3">
      <c r="D33" t="str">
        <f>IFERROR(VLOOKUP(C33,Catalog!$A:$B,2,FALSE),"")</f>
        <v/>
      </c>
    </row>
    <row r="34" spans="4:4" ht="18" customHeight="1" x14ac:dyDescent="0.3">
      <c r="D34" t="str">
        <f>IFERROR(VLOOKUP(C34,Catalog!$A:$B,2,FALSE),"")</f>
        <v/>
      </c>
    </row>
    <row r="35" spans="4:4" ht="18" customHeight="1" x14ac:dyDescent="0.3">
      <c r="D35" t="str">
        <f>IFERROR(VLOOKUP(C35,Catalog!$A:$B,2,FALSE),"")</f>
        <v/>
      </c>
    </row>
    <row r="36" spans="4:4" ht="18" customHeight="1" x14ac:dyDescent="0.3">
      <c r="D36" t="str">
        <f>IFERROR(VLOOKUP(C36,Catalog!$A:$B,2,FALSE),"")</f>
        <v/>
      </c>
    </row>
    <row r="37" spans="4:4" ht="18" customHeight="1" x14ac:dyDescent="0.3">
      <c r="D37" t="str">
        <f>IFERROR(VLOOKUP(C37,Catalog!$A:$B,2,FALSE),"")</f>
        <v/>
      </c>
    </row>
    <row r="38" spans="4:4" ht="18" customHeight="1" x14ac:dyDescent="0.3">
      <c r="D38" t="str">
        <f>IFERROR(VLOOKUP(C38,Catalog!$A:$B,2,FALSE),"")</f>
        <v/>
      </c>
    </row>
    <row r="39" spans="4:4" ht="18" customHeight="1" x14ac:dyDescent="0.3">
      <c r="D39" t="str">
        <f>IFERROR(VLOOKUP(C39,Catalog!$A:$B,2,FALSE),"")</f>
        <v/>
      </c>
    </row>
    <row r="40" spans="4:4" ht="18" customHeight="1" x14ac:dyDescent="0.3">
      <c r="D40" t="str">
        <f>IFERROR(VLOOKUP(C40,Catalog!$A:$B,2,FALSE),"")</f>
        <v/>
      </c>
    </row>
    <row r="41" spans="4:4" ht="18" customHeight="1" x14ac:dyDescent="0.3">
      <c r="D41" t="str">
        <f>IFERROR(VLOOKUP(C41,Catalog!$A:$B,2,FALSE),"")</f>
        <v/>
      </c>
    </row>
    <row r="42" spans="4:4" ht="18" customHeight="1" x14ac:dyDescent="0.3">
      <c r="D42" t="str">
        <f>IFERROR(VLOOKUP(C42,Catalog!$A:$B,2,FALSE),"")</f>
        <v/>
      </c>
    </row>
    <row r="43" spans="4:4" ht="18" customHeight="1" x14ac:dyDescent="0.3">
      <c r="D43" t="str">
        <f>IFERROR(VLOOKUP(C43,Catalog!$A:$B,2,FALSE),"")</f>
        <v/>
      </c>
    </row>
    <row r="44" spans="4:4" ht="18" customHeight="1" x14ac:dyDescent="0.3">
      <c r="D44" t="str">
        <f>IFERROR(VLOOKUP(C44,Catalog!$A:$B,2,FALSE),"")</f>
        <v/>
      </c>
    </row>
    <row r="45" spans="4:4" ht="18" customHeight="1" x14ac:dyDescent="0.3">
      <c r="D45" t="str">
        <f>IFERROR(VLOOKUP(C45,Catalog!$A:$B,2,FALSE),"")</f>
        <v/>
      </c>
    </row>
    <row r="46" spans="4:4" ht="18" customHeight="1" x14ac:dyDescent="0.3">
      <c r="D46" t="str">
        <f>IFERROR(VLOOKUP(C46,Catalog!$A:$B,2,FALSE),"")</f>
        <v/>
      </c>
    </row>
    <row r="47" spans="4:4" ht="18" customHeight="1" x14ac:dyDescent="0.3">
      <c r="D47" t="str">
        <f>IFERROR(VLOOKUP(C47,Catalog!$A:$B,2,FALSE),"")</f>
        <v/>
      </c>
    </row>
    <row r="48" spans="4:4" ht="18" customHeight="1" x14ac:dyDescent="0.3">
      <c r="D48" t="str">
        <f>IFERROR(VLOOKUP(C48,Catalog!$A:$B,2,FALSE),"")</f>
        <v/>
      </c>
    </row>
    <row r="49" spans="4:4" ht="18" customHeight="1" x14ac:dyDescent="0.3">
      <c r="D49" t="str">
        <f>IFERROR(VLOOKUP(C49,Catalog!$A:$B,2,FALSE),"")</f>
        <v/>
      </c>
    </row>
    <row r="50" spans="4:4" ht="18" customHeight="1" x14ac:dyDescent="0.3">
      <c r="D50" t="str">
        <f>IFERROR(VLOOKUP(C50,Catalog!$A:$B,2,FALSE),"")</f>
        <v/>
      </c>
    </row>
    <row r="51" spans="4:4" ht="18" customHeight="1" x14ac:dyDescent="0.3">
      <c r="D51" t="str">
        <f>IFERROR(VLOOKUP(C51,Catalog!$A:$B,2,FALSE),"")</f>
        <v/>
      </c>
    </row>
  </sheetData>
  <dataValidations count="6">
    <dataValidation type="list" allowBlank="1" showInputMessage="1" showErrorMessage="1" sqref="A2 A3 A4 A5 A6 A7 A8 A9 A10 A11 A12 A13 A14 A15 A16 A17 A18 A19 A20 A21 A22 A23 A24 A25 A26 A27 A28 A29 A30 A31 A32 A33 A34 A35 A36 A37 A38 A39 A40 A41 A42 A43 A44 A45 A46 A47 A48 A49 A50 A51" xr:uid="{00000000-0002-0000-0700-000000000000}">
      <formula1>ItemCategories</formula1>
    </dataValidation>
    <dataValidation type="list" allowBlank="1" showInputMessage="1" showErrorMessage="1" sqref="G2 G3 G4 G5 G6 G7 G8 G9 G10 G11 G12 G13 G14 G15 G16 G17 G18 G19 G20 G21 G22 G23 G24 G25 G26 G27 G28 G29 G30 G31 G32 G33 G34 G35 G36 G37 G38 G39 G40 G41 G42 G43 G44 G45 G46 G47 G48 G49 G50 G51" xr:uid="{00000000-0002-0000-0700-000001000000}">
      <formula1>Finishes</formula1>
    </dataValidation>
    <dataValidation type="list" allowBlank="1" showInputMessage="1" showErrorMessage="1" sqref="H2 H3 H4 H5 H6 H7 H8 H9 H10 H11 H12 H13 H14 H15 H16 H17 H18 H19 H20 H21 H22 H23 H24 H25 H26 H27 H28 H29 H30 H31 H32 H33 H34 H35 H36 H37 H38 H39 H40 H41 H42 H43 H44 H45 H46 H47 H48 H49 H50 H51" xr:uid="{00000000-0002-0000-0700-000002000000}">
      <formula1>Handing</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xr:uid="{00000000-0002-0000-0700-000003000000}">
      <formula1>FireRatings</formula1>
    </dataValidation>
    <dataValidation type="whole" operator="greaterThanOrEqual" allowBlank="1" showInputMessage="1" showErrorMessage="1" sqref="E2 E3 E4 E5 E6 E7 E8 E9 E10 E11 E12 E13 E14 E15 E16 E17 E18 E19 E20 E21 E22 E23 E24 E25 E26 E27 E28 E29 E30 E31 E32 E33 E34 E35 E36 E37 E38 E39 E40 E41 E42 E43 E44 E45 E46 E47 E48 E49 E50 E51" xr:uid="{00000000-0002-0000-0700-000004000000}">
      <formula1>0</formula1>
    </dataValidation>
    <dataValidation type="list" allowBlank="1" showInputMessage="1" showErrorMessage="1" sqref="B2:B51" xr:uid="{00000000-0002-0000-0700-000005000000}">
      <formula1>INDIRECT(SUBSTITUTE(SUBSTITUTE(SUBSTITUTE(SUBSTITUTE(SUBSTITUTE(SUBSTITUTE(SUBSTITUTE(SUBSTITUTE(SUBSTITUTE(SUBSTITUTE($A2," ","_"),"/","_"),"-","_"),"(",""),")",""),",",""),".",""),"&amp;","_"),"’",""),"'",""))</formula1>
    </dataValidation>
  </dataValidation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9"/>
  <sheetViews>
    <sheetView workbookViewId="0"/>
  </sheetViews>
  <sheetFormatPr defaultRowHeight="14.4" x14ac:dyDescent="0.3"/>
  <cols>
    <col min="1" max="1" width="28" customWidth="1"/>
    <col min="2" max="2" width="14" customWidth="1"/>
    <col min="4" max="4" width="28" customWidth="1"/>
    <col min="5" max="5" width="14" customWidth="1"/>
  </cols>
  <sheetData>
    <row r="1" spans="1:5" ht="18" customHeight="1" x14ac:dyDescent="0.3">
      <c r="A1" t="s">
        <v>119</v>
      </c>
    </row>
    <row r="2" spans="1:5" ht="18" customHeight="1" x14ac:dyDescent="0.3"/>
    <row r="3" spans="1:5" ht="18" customHeight="1" x14ac:dyDescent="0.3">
      <c r="A3" t="s">
        <v>120</v>
      </c>
      <c r="D3" t="s">
        <v>121</v>
      </c>
    </row>
    <row r="4" spans="1:5" ht="18" customHeight="1" x14ac:dyDescent="0.3">
      <c r="A4" t="s">
        <v>0</v>
      </c>
      <c r="B4" t="s">
        <v>122</v>
      </c>
      <c r="D4" t="s">
        <v>1</v>
      </c>
      <c r="E4" t="s">
        <v>122</v>
      </c>
    </row>
    <row r="5" spans="1:5" ht="18" customHeight="1" x14ac:dyDescent="0.3">
      <c r="A5" t="s">
        <v>14</v>
      </c>
      <c r="B5">
        <f>SUMIF('Hollow Metal'!$A$2:$A$51,$A5,'Hollow Metal'!$E$2:$E$51)+SUMIF(Wood!$A$2:$A$51,$A5,Wood!$E$2:$E$51)+SUMIF('AlumGlass Storefront'!$A$2:$A$51,$A5,'AlumGlass Storefront'!$E$2:$E$51)+SUMIF('FireRated NGP_TGP'!$A$2:$A$51,$A5,'FireRated NGP_TGP'!$E$2:$E$51)+SUMIF('Automated Opening'!$A$2:$A$51,$A5,'Automated Opening'!$E$2:$E$51)+SUMIF('Electrified Panic'!$A$2:$A$51,$A5,'Electrified Panic'!$E$2:$E$51)</f>
        <v>0</v>
      </c>
      <c r="D5" t="s">
        <v>33</v>
      </c>
      <c r="E5">
        <f>SUMIF('Hollow Metal'!$B$2:$B$51,$D5,'Hollow Metal'!$E$2:$E$51)+SUMIF(Wood!$B$2:$B$51,$D5,Wood!$E$2:$E$51)+SUMIF('AlumGlass Storefront'!$B$2:$B$51,$D5,'AlumGlass Storefront'!$E$2:$E$51)+SUMIF('FireRated NGP_TGP'!$B$2:$B$51,$D5,'FireRated NGP_TGP'!$E$2:$E$51)+SUMIF('Automated Opening'!$B$2:$B$51,$D5,'Automated Opening'!$E$2:$E$51)+SUMIF('Electrified Panic'!$B$2:$B$51,$D5,'Electrified Panic'!$E$2:$E$51)</f>
        <v>0</v>
      </c>
    </row>
    <row r="6" spans="1:5" ht="18" customHeight="1" x14ac:dyDescent="0.3">
      <c r="A6" t="s">
        <v>15</v>
      </c>
      <c r="B6">
        <f>SUMIF('Hollow Metal'!$A$2:$A$51,$A6,'Hollow Metal'!$E$2:$E$51)+SUMIF(Wood!$A$2:$A$51,$A6,Wood!$E$2:$E$51)+SUMIF('AlumGlass Storefront'!$A$2:$A$51,$A6,'AlumGlass Storefront'!$E$2:$E$51)+SUMIF('FireRated NGP_TGP'!$A$2:$A$51,$A6,'FireRated NGP_TGP'!$E$2:$E$51)+SUMIF('Automated Opening'!$A$2:$A$51,$A6,'Automated Opening'!$E$2:$E$51)+SUMIF('Electrified Panic'!$A$2:$A$51,$A6,'Electrified Panic'!$E$2:$E$51)</f>
        <v>0</v>
      </c>
      <c r="D6" t="s">
        <v>48</v>
      </c>
      <c r="E6">
        <f>SUMIF('Hollow Metal'!$B$2:$B$51,$D6,'Hollow Metal'!$E$2:$E$51)+SUMIF(Wood!$B$2:$B$51,$D6,Wood!$E$2:$E$51)+SUMIF('AlumGlass Storefront'!$B$2:$B$51,$D6,'AlumGlass Storefront'!$E$2:$E$51)+SUMIF('FireRated NGP_TGP'!$B$2:$B$51,$D6,'FireRated NGP_TGP'!$E$2:$E$51)+SUMIF('Automated Opening'!$B$2:$B$51,$D6,'Automated Opening'!$E$2:$E$51)+SUMIF('Electrified Panic'!$B$2:$B$51,$D6,'Electrified Panic'!$E$2:$E$51)</f>
        <v>0</v>
      </c>
    </row>
    <row r="7" spans="1:5" ht="18" customHeight="1" x14ac:dyDescent="0.3">
      <c r="A7" t="s">
        <v>16</v>
      </c>
      <c r="B7">
        <f>SUMIF('Hollow Metal'!$A$2:$A$51,$A7,'Hollow Metal'!$E$2:$E$51)+SUMIF(Wood!$A$2:$A$51,$A7,Wood!$E$2:$E$51)+SUMIF('AlumGlass Storefront'!$A$2:$A$51,$A7,'AlumGlass Storefront'!$E$2:$E$51)+SUMIF('FireRated NGP_TGP'!$A$2:$A$51,$A7,'FireRated NGP_TGP'!$E$2:$E$51)+SUMIF('Automated Opening'!$A$2:$A$51,$A7,'Automated Opening'!$E$2:$E$51)+SUMIF('Electrified Panic'!$A$2:$A$51,$A7,'Electrified Panic'!$E$2:$E$51)</f>
        <v>0</v>
      </c>
      <c r="D7" t="s">
        <v>41</v>
      </c>
      <c r="E7">
        <f>SUMIF('Hollow Metal'!$B$2:$B$51,$D7,'Hollow Metal'!$E$2:$E$51)+SUMIF(Wood!$B$2:$B$51,$D7,Wood!$E$2:$E$51)+SUMIF('AlumGlass Storefront'!$B$2:$B$51,$D7,'AlumGlass Storefront'!$E$2:$E$51)+SUMIF('FireRated NGP_TGP'!$B$2:$B$51,$D7,'FireRated NGP_TGP'!$E$2:$E$51)+SUMIF('Automated Opening'!$B$2:$B$51,$D7,'Automated Opening'!$E$2:$E$51)+SUMIF('Electrified Panic'!$B$2:$B$51,$D7,'Electrified Panic'!$E$2:$E$51)</f>
        <v>0</v>
      </c>
    </row>
    <row r="8" spans="1:5" ht="18" customHeight="1" x14ac:dyDescent="0.3">
      <c r="A8" t="s">
        <v>17</v>
      </c>
      <c r="B8">
        <f>SUMIF('Hollow Metal'!$A$2:$A$51,$A8,'Hollow Metal'!$E$2:$E$51)+SUMIF(Wood!$A$2:$A$51,$A8,Wood!$E$2:$E$51)+SUMIF('AlumGlass Storefront'!$A$2:$A$51,$A8,'AlumGlass Storefront'!$E$2:$E$51)+SUMIF('FireRated NGP_TGP'!$A$2:$A$51,$A8,'FireRated NGP_TGP'!$E$2:$E$51)+SUMIF('Automated Opening'!$A$2:$A$51,$A8,'Automated Opening'!$E$2:$E$51)+SUMIF('Electrified Panic'!$A$2:$A$51,$A8,'Electrified Panic'!$E$2:$E$51)</f>
        <v>0</v>
      </c>
      <c r="D8" t="s">
        <v>40</v>
      </c>
      <c r="E8">
        <f>SUMIF('Hollow Metal'!$B$2:$B$51,$D8,'Hollow Metal'!$E$2:$E$51)+SUMIF(Wood!$B$2:$B$51,$D8,Wood!$E$2:$E$51)+SUMIF('AlumGlass Storefront'!$B$2:$B$51,$D8,'AlumGlass Storefront'!$E$2:$E$51)+SUMIF('FireRated NGP_TGP'!$B$2:$B$51,$D8,'FireRated NGP_TGP'!$E$2:$E$51)+SUMIF('Automated Opening'!$B$2:$B$51,$D8,'Automated Opening'!$E$2:$E$51)+SUMIF('Electrified Panic'!$B$2:$B$51,$D8,'Electrified Panic'!$E$2:$E$51)</f>
        <v>0</v>
      </c>
    </row>
    <row r="9" spans="1:5" ht="18" customHeight="1" x14ac:dyDescent="0.3">
      <c r="A9" t="s">
        <v>18</v>
      </c>
      <c r="B9">
        <f>SUMIF('Hollow Metal'!$A$2:$A$51,$A9,'Hollow Metal'!$E$2:$E$51)+SUMIF(Wood!$A$2:$A$51,$A9,Wood!$E$2:$E$51)+SUMIF('AlumGlass Storefront'!$A$2:$A$51,$A9,'AlumGlass Storefront'!$E$2:$E$51)+SUMIF('FireRated NGP_TGP'!$A$2:$A$51,$A9,'FireRated NGP_TGP'!$E$2:$E$51)+SUMIF('Automated Opening'!$A$2:$A$51,$A9,'Automated Opening'!$E$2:$E$51)+SUMIF('Electrified Panic'!$A$2:$A$51,$A9,'Electrified Panic'!$E$2:$E$51)</f>
        <v>0</v>
      </c>
      <c r="D9" t="s">
        <v>53</v>
      </c>
      <c r="E9">
        <f>SUMIF('Hollow Metal'!$B$2:$B$51,$D9,'Hollow Metal'!$E$2:$E$51)+SUMIF(Wood!$B$2:$B$51,$D9,Wood!$E$2:$E$51)+SUMIF('AlumGlass Storefront'!$B$2:$B$51,$D9,'AlumGlass Storefront'!$E$2:$E$51)+SUMIF('FireRated NGP_TGP'!$B$2:$B$51,$D9,'FireRated NGP_TGP'!$E$2:$E$51)+SUMIF('Automated Opening'!$B$2:$B$51,$D9,'Automated Opening'!$E$2:$E$51)+SUMIF('Electrified Panic'!$B$2:$B$51,$D9,'Electrified Panic'!$E$2:$E$51)</f>
        <v>0</v>
      </c>
    </row>
    <row r="10" spans="1:5" ht="18" customHeight="1" x14ac:dyDescent="0.3">
      <c r="A10" t="s">
        <v>19</v>
      </c>
      <c r="B10">
        <f>SUMIF('Hollow Metal'!$A$2:$A$51,$A10,'Hollow Metal'!$E$2:$E$51)+SUMIF(Wood!$A$2:$A$51,$A10,Wood!$E$2:$E$51)+SUMIF('AlumGlass Storefront'!$A$2:$A$51,$A10,'AlumGlass Storefront'!$E$2:$E$51)+SUMIF('FireRated NGP_TGP'!$A$2:$A$51,$A10,'FireRated NGP_TGP'!$E$2:$E$51)+SUMIF('Automated Opening'!$A$2:$A$51,$A10,'Automated Opening'!$E$2:$E$51)+SUMIF('Electrified Panic'!$A$2:$A$51,$A10,'Electrified Panic'!$E$2:$E$51)</f>
        <v>0</v>
      </c>
      <c r="D10" t="s">
        <v>43</v>
      </c>
      <c r="E10">
        <f>SUMIF('Hollow Metal'!$B$2:$B$51,$D10,'Hollow Metal'!$E$2:$E$51)+SUMIF(Wood!$B$2:$B$51,$D10,Wood!$E$2:$E$51)+SUMIF('AlumGlass Storefront'!$B$2:$B$51,$D10,'AlumGlass Storefront'!$E$2:$E$51)+SUMIF('FireRated NGP_TGP'!$B$2:$B$51,$D10,'FireRated NGP_TGP'!$E$2:$E$51)+SUMIF('Automated Opening'!$B$2:$B$51,$D10,'Automated Opening'!$E$2:$E$51)+SUMIF('Electrified Panic'!$B$2:$B$51,$D10,'Electrified Panic'!$E$2:$E$51)</f>
        <v>0</v>
      </c>
    </row>
    <row r="11" spans="1:5" ht="18" customHeight="1" x14ac:dyDescent="0.3">
      <c r="A11" t="s">
        <v>20</v>
      </c>
      <c r="B11">
        <f>SUMIF('Hollow Metal'!$A$2:$A$51,$A11,'Hollow Metal'!$E$2:$E$51)+SUMIF(Wood!$A$2:$A$51,$A11,Wood!$E$2:$E$51)+SUMIF('AlumGlass Storefront'!$A$2:$A$51,$A11,'AlumGlass Storefront'!$E$2:$E$51)+SUMIF('FireRated NGP_TGP'!$A$2:$A$51,$A11,'FireRated NGP_TGP'!$E$2:$E$51)+SUMIF('Automated Opening'!$A$2:$A$51,$A11,'Automated Opening'!$E$2:$E$51)+SUMIF('Electrified Panic'!$A$2:$A$51,$A11,'Electrified Panic'!$E$2:$E$51)</f>
        <v>0</v>
      </c>
      <c r="D11" t="s">
        <v>52</v>
      </c>
      <c r="E11">
        <f>SUMIF('Hollow Metal'!$B$2:$B$51,$D11,'Hollow Metal'!$E$2:$E$51)+SUMIF(Wood!$B$2:$B$51,$D11,Wood!$E$2:$E$51)+SUMIF('AlumGlass Storefront'!$B$2:$B$51,$D11,'AlumGlass Storefront'!$E$2:$E$51)+SUMIF('FireRated NGP_TGP'!$B$2:$B$51,$D11,'FireRated NGP_TGP'!$E$2:$E$51)+SUMIF('Automated Opening'!$B$2:$B$51,$D11,'Automated Opening'!$E$2:$E$51)+SUMIF('Electrified Panic'!$B$2:$B$51,$D11,'Electrified Panic'!$E$2:$E$51)</f>
        <v>0</v>
      </c>
    </row>
    <row r="12" spans="1:5" ht="18" customHeight="1" x14ac:dyDescent="0.3">
      <c r="A12" t="s">
        <v>21</v>
      </c>
      <c r="B12">
        <f>SUMIF('Hollow Metal'!$A$2:$A$51,$A12,'Hollow Metal'!$E$2:$E$51)+SUMIF(Wood!$A$2:$A$51,$A12,Wood!$E$2:$E$51)+SUMIF('AlumGlass Storefront'!$A$2:$A$51,$A12,'AlumGlass Storefront'!$E$2:$E$51)+SUMIF('FireRated NGP_TGP'!$A$2:$A$51,$A12,'FireRated NGP_TGP'!$E$2:$E$51)+SUMIF('Automated Opening'!$A$2:$A$51,$A12,'Automated Opening'!$E$2:$E$51)+SUMIF('Electrified Panic'!$A$2:$A$51,$A12,'Electrified Panic'!$E$2:$E$51)</f>
        <v>0</v>
      </c>
      <c r="D12" t="s">
        <v>46</v>
      </c>
      <c r="E12">
        <f>SUMIF('Hollow Metal'!$B$2:$B$51,$D12,'Hollow Metal'!$E$2:$E$51)+SUMIF(Wood!$B$2:$B$51,$D12,Wood!$E$2:$E$51)+SUMIF('AlumGlass Storefront'!$B$2:$B$51,$D12,'AlumGlass Storefront'!$E$2:$E$51)+SUMIF('FireRated NGP_TGP'!$B$2:$B$51,$D12,'FireRated NGP_TGP'!$E$2:$E$51)+SUMIF('Automated Opening'!$B$2:$B$51,$D12,'Automated Opening'!$E$2:$E$51)+SUMIF('Electrified Panic'!$B$2:$B$51,$D12,'Electrified Panic'!$E$2:$E$51)</f>
        <v>0</v>
      </c>
    </row>
    <row r="13" spans="1:5" ht="18" customHeight="1" x14ac:dyDescent="0.3">
      <c r="A13" t="s">
        <v>22</v>
      </c>
      <c r="B13">
        <f>SUMIF('Hollow Metal'!$A$2:$A$51,$A13,'Hollow Metal'!$E$2:$E$51)+SUMIF(Wood!$A$2:$A$51,$A13,Wood!$E$2:$E$51)+SUMIF('AlumGlass Storefront'!$A$2:$A$51,$A13,'AlumGlass Storefront'!$E$2:$E$51)+SUMIF('FireRated NGP_TGP'!$A$2:$A$51,$A13,'FireRated NGP_TGP'!$E$2:$E$51)+SUMIF('Automated Opening'!$A$2:$A$51,$A13,'Automated Opening'!$E$2:$E$51)+SUMIF('Electrified Panic'!$A$2:$A$51,$A13,'Electrified Panic'!$E$2:$E$51)</f>
        <v>0</v>
      </c>
      <c r="D13" t="s">
        <v>54</v>
      </c>
      <c r="E13">
        <f>SUMIF('Hollow Metal'!$B$2:$B$51,$D13,'Hollow Metal'!$E$2:$E$51)+SUMIF(Wood!$B$2:$B$51,$D13,Wood!$E$2:$E$51)+SUMIF('AlumGlass Storefront'!$B$2:$B$51,$D13,'AlumGlass Storefront'!$E$2:$E$51)+SUMIF('FireRated NGP_TGP'!$B$2:$B$51,$D13,'FireRated NGP_TGP'!$E$2:$E$51)+SUMIF('Automated Opening'!$B$2:$B$51,$D13,'Automated Opening'!$E$2:$E$51)+SUMIF('Electrified Panic'!$B$2:$B$51,$D13,'Electrified Panic'!$E$2:$E$51)</f>
        <v>0</v>
      </c>
    </row>
    <row r="14" spans="1:5" ht="18" customHeight="1" x14ac:dyDescent="0.3">
      <c r="A14" t="s">
        <v>23</v>
      </c>
      <c r="B14">
        <f>SUMIF('Hollow Metal'!$A$2:$A$51,$A14,'Hollow Metal'!$E$2:$E$51)+SUMIF(Wood!$A$2:$A$51,$A14,Wood!$E$2:$E$51)+SUMIF('AlumGlass Storefront'!$A$2:$A$51,$A14,'AlumGlass Storefront'!$E$2:$E$51)+SUMIF('FireRated NGP_TGP'!$A$2:$A$51,$A14,'FireRated NGP_TGP'!$E$2:$E$51)+SUMIF('Automated Opening'!$A$2:$A$51,$A14,'Automated Opening'!$E$2:$E$51)+SUMIF('Electrified Panic'!$A$2:$A$51,$A14,'Electrified Panic'!$E$2:$E$51)</f>
        <v>0</v>
      </c>
      <c r="D14" t="s">
        <v>42</v>
      </c>
      <c r="E14">
        <f>SUMIF('Hollow Metal'!$B$2:$B$51,$D14,'Hollow Metal'!$E$2:$E$51)+SUMIF(Wood!$B$2:$B$51,$D14,Wood!$E$2:$E$51)+SUMIF('AlumGlass Storefront'!$B$2:$B$51,$D14,'AlumGlass Storefront'!$E$2:$E$51)+SUMIF('FireRated NGP_TGP'!$B$2:$B$51,$D14,'FireRated NGP_TGP'!$E$2:$E$51)+SUMIF('Automated Opening'!$B$2:$B$51,$D14,'Automated Opening'!$E$2:$E$51)+SUMIF('Electrified Panic'!$B$2:$B$51,$D14,'Electrified Panic'!$E$2:$E$51)</f>
        <v>0</v>
      </c>
    </row>
    <row r="15" spans="1:5" ht="18" customHeight="1" x14ac:dyDescent="0.3">
      <c r="A15" t="s">
        <v>24</v>
      </c>
      <c r="B15">
        <f>SUMIF('Hollow Metal'!$A$2:$A$51,$A15,'Hollow Metal'!$E$2:$E$51)+SUMIF(Wood!$A$2:$A$51,$A15,Wood!$E$2:$E$51)+SUMIF('AlumGlass Storefront'!$A$2:$A$51,$A15,'AlumGlass Storefront'!$E$2:$E$51)+SUMIF('FireRated NGP_TGP'!$A$2:$A$51,$A15,'FireRated NGP_TGP'!$E$2:$E$51)+SUMIF('Automated Opening'!$A$2:$A$51,$A15,'Automated Opening'!$E$2:$E$51)+SUMIF('Electrified Panic'!$A$2:$A$51,$A15,'Electrified Panic'!$E$2:$E$51)</f>
        <v>0</v>
      </c>
      <c r="D15" t="s">
        <v>61</v>
      </c>
      <c r="E15">
        <f>SUMIF('Hollow Metal'!$B$2:$B$51,$D15,'Hollow Metal'!$E$2:$E$51)+SUMIF(Wood!$B$2:$B$51,$D15,Wood!$E$2:$E$51)+SUMIF('AlumGlass Storefront'!$B$2:$B$51,$D15,'AlumGlass Storefront'!$E$2:$E$51)+SUMIF('FireRated NGP_TGP'!$B$2:$B$51,$D15,'FireRated NGP_TGP'!$E$2:$E$51)+SUMIF('Automated Opening'!$B$2:$B$51,$D15,'Automated Opening'!$E$2:$E$51)+SUMIF('Electrified Panic'!$B$2:$B$51,$D15,'Electrified Panic'!$E$2:$E$51)</f>
        <v>0</v>
      </c>
    </row>
    <row r="16" spans="1:5" ht="18" customHeight="1" x14ac:dyDescent="0.3">
      <c r="A16" t="s">
        <v>25</v>
      </c>
      <c r="B16">
        <f>SUMIF('Hollow Metal'!$A$2:$A$51,$A16,'Hollow Metal'!$E$2:$E$51)+SUMIF(Wood!$A$2:$A$51,$A16,Wood!$E$2:$E$51)+SUMIF('AlumGlass Storefront'!$A$2:$A$51,$A16,'AlumGlass Storefront'!$E$2:$E$51)+SUMIF('FireRated NGP_TGP'!$A$2:$A$51,$A16,'FireRated NGP_TGP'!$E$2:$E$51)+SUMIF('Automated Opening'!$A$2:$A$51,$A16,'Automated Opening'!$E$2:$E$51)+SUMIF('Electrified Panic'!$A$2:$A$51,$A16,'Electrified Panic'!$E$2:$E$51)</f>
        <v>0</v>
      </c>
      <c r="D16" t="s">
        <v>66</v>
      </c>
      <c r="E16">
        <f>SUMIF('Hollow Metal'!$B$2:$B$51,$D16,'Hollow Metal'!$E$2:$E$51)+SUMIF(Wood!$B$2:$B$51,$D16,Wood!$E$2:$E$51)+SUMIF('AlumGlass Storefront'!$B$2:$B$51,$D16,'AlumGlass Storefront'!$E$2:$E$51)+SUMIF('FireRated NGP_TGP'!$B$2:$B$51,$D16,'FireRated NGP_TGP'!$E$2:$E$51)+SUMIF('Automated Opening'!$B$2:$B$51,$D16,'Automated Opening'!$E$2:$E$51)+SUMIF('Electrified Panic'!$B$2:$B$51,$D16,'Electrified Panic'!$E$2:$E$51)</f>
        <v>0</v>
      </c>
    </row>
    <row r="17" spans="1:5" ht="18" customHeight="1" x14ac:dyDescent="0.3">
      <c r="A17" t="s">
        <v>26</v>
      </c>
      <c r="B17">
        <f>SUMIF('Hollow Metal'!$A$2:$A$51,$A17,'Hollow Metal'!$E$2:$E$51)+SUMIF(Wood!$A$2:$A$51,$A17,Wood!$E$2:$E$51)+SUMIF('AlumGlass Storefront'!$A$2:$A$51,$A17,'AlumGlass Storefront'!$E$2:$E$51)+SUMIF('FireRated NGP_TGP'!$A$2:$A$51,$A17,'FireRated NGP_TGP'!$E$2:$E$51)+SUMIF('Automated Opening'!$A$2:$A$51,$A17,'Automated Opening'!$E$2:$E$51)+SUMIF('Electrified Panic'!$A$2:$A$51,$A17,'Electrified Panic'!$E$2:$E$51)</f>
        <v>0</v>
      </c>
      <c r="D17" t="s">
        <v>37</v>
      </c>
      <c r="E17">
        <f>SUMIF('Hollow Metal'!$B$2:$B$51,$D17,'Hollow Metal'!$E$2:$E$51)+SUMIF(Wood!$B$2:$B$51,$D17,Wood!$E$2:$E$51)+SUMIF('AlumGlass Storefront'!$B$2:$B$51,$D17,'AlumGlass Storefront'!$E$2:$E$51)+SUMIF('FireRated NGP_TGP'!$B$2:$B$51,$D17,'FireRated NGP_TGP'!$E$2:$E$51)+SUMIF('Automated Opening'!$B$2:$B$51,$D17,'Automated Opening'!$E$2:$E$51)+SUMIF('Electrified Panic'!$B$2:$B$51,$D17,'Electrified Panic'!$E$2:$E$51)</f>
        <v>0</v>
      </c>
    </row>
    <row r="18" spans="1:5" ht="18" customHeight="1" x14ac:dyDescent="0.3">
      <c r="A18" t="s">
        <v>27</v>
      </c>
      <c r="B18">
        <f>SUMIF('Hollow Metal'!$A$2:$A$51,$A18,'Hollow Metal'!$E$2:$E$51)+SUMIF(Wood!$A$2:$A$51,$A18,Wood!$E$2:$E$51)+SUMIF('AlumGlass Storefront'!$A$2:$A$51,$A18,'AlumGlass Storefront'!$E$2:$E$51)+SUMIF('FireRated NGP_TGP'!$A$2:$A$51,$A18,'FireRated NGP_TGP'!$E$2:$E$51)+SUMIF('Automated Opening'!$A$2:$A$51,$A18,'Automated Opening'!$E$2:$E$51)+SUMIF('Electrified Panic'!$A$2:$A$51,$A18,'Electrified Panic'!$E$2:$E$51)</f>
        <v>0</v>
      </c>
      <c r="D18" t="s">
        <v>55</v>
      </c>
      <c r="E18">
        <f>SUMIF('Hollow Metal'!$B$2:$B$51,$D18,'Hollow Metal'!$E$2:$E$51)+SUMIF(Wood!$B$2:$B$51,$D18,Wood!$E$2:$E$51)+SUMIF('AlumGlass Storefront'!$B$2:$B$51,$D18,'AlumGlass Storefront'!$E$2:$E$51)+SUMIF('FireRated NGP_TGP'!$B$2:$B$51,$D18,'FireRated NGP_TGP'!$E$2:$E$51)+SUMIF('Automated Opening'!$B$2:$B$51,$D18,'Automated Opening'!$E$2:$E$51)+SUMIF('Electrified Panic'!$B$2:$B$51,$D18,'Electrified Panic'!$E$2:$E$51)</f>
        <v>0</v>
      </c>
    </row>
    <row r="19" spans="1:5" ht="18" customHeight="1" x14ac:dyDescent="0.3">
      <c r="A19" t="s">
        <v>28</v>
      </c>
      <c r="B19">
        <f>SUMIF('Hollow Metal'!$A$2:$A$51,$A19,'Hollow Metal'!$E$2:$E$51)+SUMIF(Wood!$A$2:$A$51,$A19,Wood!$E$2:$E$51)+SUMIF('AlumGlass Storefront'!$A$2:$A$51,$A19,'AlumGlass Storefront'!$E$2:$E$51)+SUMIF('FireRated NGP_TGP'!$A$2:$A$51,$A19,'FireRated NGP_TGP'!$E$2:$E$51)+SUMIF('Automated Opening'!$A$2:$A$51,$A19,'Automated Opening'!$E$2:$E$51)+SUMIF('Electrified Panic'!$A$2:$A$51,$A19,'Electrified Panic'!$E$2:$E$51)</f>
        <v>0</v>
      </c>
      <c r="D19" t="s">
        <v>47</v>
      </c>
      <c r="E19">
        <f>SUMIF('Hollow Metal'!$B$2:$B$51,$D19,'Hollow Metal'!$E$2:$E$51)+SUMIF(Wood!$B$2:$B$51,$D19,Wood!$E$2:$E$51)+SUMIF('AlumGlass Storefront'!$B$2:$B$51,$D19,'AlumGlass Storefront'!$E$2:$E$51)+SUMIF('FireRated NGP_TGP'!$B$2:$B$51,$D19,'FireRated NGP_TGP'!$E$2:$E$51)+SUMIF('Automated Opening'!$B$2:$B$51,$D19,'Automated Opening'!$E$2:$E$51)+SUMIF('Electrified Panic'!$B$2:$B$51,$D19,'Electrified Panic'!$E$2:$E$51)</f>
        <v>0</v>
      </c>
    </row>
    <row r="20" spans="1:5" ht="18" customHeight="1" x14ac:dyDescent="0.3">
      <c r="A20" t="s">
        <v>29</v>
      </c>
      <c r="B20">
        <f>SUMIF('Hollow Metal'!$A$2:$A$51,$A20,'Hollow Metal'!$E$2:$E$51)+SUMIF(Wood!$A$2:$A$51,$A20,Wood!$E$2:$E$51)+SUMIF('AlumGlass Storefront'!$A$2:$A$51,$A20,'AlumGlass Storefront'!$E$2:$E$51)+SUMIF('FireRated NGP_TGP'!$A$2:$A$51,$A20,'FireRated NGP_TGP'!$E$2:$E$51)+SUMIF('Automated Opening'!$A$2:$A$51,$A20,'Automated Opening'!$E$2:$E$51)+SUMIF('Electrified Panic'!$A$2:$A$51,$A20,'Electrified Panic'!$E$2:$E$51)</f>
        <v>0</v>
      </c>
      <c r="D20" t="s">
        <v>62</v>
      </c>
      <c r="E20">
        <f>SUMIF('Hollow Metal'!$B$2:$B$51,$D20,'Hollow Metal'!$E$2:$E$51)+SUMIF(Wood!$B$2:$B$51,$D20,Wood!$E$2:$E$51)+SUMIF('AlumGlass Storefront'!$B$2:$B$51,$D20,'AlumGlass Storefront'!$E$2:$E$51)+SUMIF('FireRated NGP_TGP'!$B$2:$B$51,$D20,'FireRated NGP_TGP'!$E$2:$E$51)+SUMIF('Automated Opening'!$B$2:$B$51,$D20,'Automated Opening'!$E$2:$E$51)+SUMIF('Electrified Panic'!$B$2:$B$51,$D20,'Electrified Panic'!$E$2:$E$51)</f>
        <v>0</v>
      </c>
    </row>
    <row r="21" spans="1:5" ht="18" customHeight="1" x14ac:dyDescent="0.3">
      <c r="A21" t="s">
        <v>30</v>
      </c>
      <c r="B21">
        <f>SUMIF('Hollow Metal'!$A$2:$A$51,$A21,'Hollow Metal'!$E$2:$E$51)+SUMIF(Wood!$A$2:$A$51,$A21,Wood!$E$2:$E$51)+SUMIF('AlumGlass Storefront'!$A$2:$A$51,$A21,'AlumGlass Storefront'!$E$2:$E$51)+SUMIF('FireRated NGP_TGP'!$A$2:$A$51,$A21,'FireRated NGP_TGP'!$E$2:$E$51)+SUMIF('Automated Opening'!$A$2:$A$51,$A21,'Automated Opening'!$E$2:$E$51)+SUMIF('Electrified Panic'!$A$2:$A$51,$A21,'Electrified Panic'!$E$2:$E$51)</f>
        <v>0</v>
      </c>
      <c r="D21" t="s">
        <v>68</v>
      </c>
      <c r="E21">
        <f>SUMIF('Hollow Metal'!$B$2:$B$51,$D21,'Hollow Metal'!$E$2:$E$51)+SUMIF(Wood!$B$2:$B$51,$D21,Wood!$E$2:$E$51)+SUMIF('AlumGlass Storefront'!$B$2:$B$51,$D21,'AlumGlass Storefront'!$E$2:$E$51)+SUMIF('FireRated NGP_TGP'!$B$2:$B$51,$D21,'FireRated NGP_TGP'!$E$2:$E$51)+SUMIF('Automated Opening'!$B$2:$B$51,$D21,'Automated Opening'!$E$2:$E$51)+SUMIF('Electrified Panic'!$B$2:$B$51,$D21,'Electrified Panic'!$E$2:$E$51)</f>
        <v>0</v>
      </c>
    </row>
    <row r="22" spans="1:5" ht="18" customHeight="1" x14ac:dyDescent="0.3">
      <c r="A22" t="s">
        <v>31</v>
      </c>
      <c r="B22">
        <f>SUMIF('Hollow Metal'!$A$2:$A$51,$A22,'Hollow Metal'!$E$2:$E$51)+SUMIF(Wood!$A$2:$A$51,$A22,Wood!$E$2:$E$51)+SUMIF('AlumGlass Storefront'!$A$2:$A$51,$A22,'AlumGlass Storefront'!$E$2:$E$51)+SUMIF('FireRated NGP_TGP'!$A$2:$A$51,$A22,'FireRated NGP_TGP'!$E$2:$E$51)+SUMIF('Automated Opening'!$A$2:$A$51,$A22,'Automated Opening'!$E$2:$E$51)+SUMIF('Electrified Panic'!$A$2:$A$51,$A22,'Electrified Panic'!$E$2:$E$51)</f>
        <v>0</v>
      </c>
      <c r="D22" t="s">
        <v>39</v>
      </c>
      <c r="E22">
        <f>SUMIF('Hollow Metal'!$B$2:$B$51,$D22,'Hollow Metal'!$E$2:$E$51)+SUMIF(Wood!$B$2:$B$51,$D22,Wood!$E$2:$E$51)+SUMIF('AlumGlass Storefront'!$B$2:$B$51,$D22,'AlumGlass Storefront'!$E$2:$E$51)+SUMIF('FireRated NGP_TGP'!$B$2:$B$51,$D22,'FireRated NGP_TGP'!$E$2:$E$51)+SUMIF('Automated Opening'!$B$2:$B$51,$D22,'Automated Opening'!$E$2:$E$51)+SUMIF('Electrified Panic'!$B$2:$B$51,$D22,'Electrified Panic'!$E$2:$E$51)</f>
        <v>0</v>
      </c>
    </row>
    <row r="23" spans="1:5" ht="18" customHeight="1" x14ac:dyDescent="0.3">
      <c r="A23" t="s">
        <v>32</v>
      </c>
      <c r="B23">
        <f>SUMIF('Hollow Metal'!$A$2:$A$51,$A23,'Hollow Metal'!$E$2:$E$51)+SUMIF(Wood!$A$2:$A$51,$A23,Wood!$E$2:$E$51)+SUMIF('AlumGlass Storefront'!$A$2:$A$51,$A23,'AlumGlass Storefront'!$E$2:$E$51)+SUMIF('FireRated NGP_TGP'!$A$2:$A$51,$A23,'FireRated NGP_TGP'!$E$2:$E$51)+SUMIF('Automated Opening'!$A$2:$A$51,$A23,'Automated Opening'!$E$2:$E$51)+SUMIF('Electrified Panic'!$A$2:$A$51,$A23,'Electrified Panic'!$E$2:$E$51)</f>
        <v>0</v>
      </c>
      <c r="D23" t="s">
        <v>56</v>
      </c>
      <c r="E23">
        <f>SUMIF('Hollow Metal'!$B$2:$B$51,$D23,'Hollow Metal'!$E$2:$E$51)+SUMIF(Wood!$B$2:$B$51,$D23,Wood!$E$2:$E$51)+SUMIF('AlumGlass Storefront'!$B$2:$B$51,$D23,'AlumGlass Storefront'!$E$2:$E$51)+SUMIF('FireRated NGP_TGP'!$B$2:$B$51,$D23,'FireRated NGP_TGP'!$E$2:$E$51)+SUMIF('Automated Opening'!$B$2:$B$51,$D23,'Automated Opening'!$E$2:$E$51)+SUMIF('Electrified Panic'!$B$2:$B$51,$D23,'Electrified Panic'!$E$2:$E$51)</f>
        <v>0</v>
      </c>
    </row>
    <row r="24" spans="1:5" ht="18" customHeight="1" x14ac:dyDescent="0.3">
      <c r="D24" t="s">
        <v>45</v>
      </c>
      <c r="E24">
        <f>SUMIF('Hollow Metal'!$B$2:$B$51,$D24,'Hollow Metal'!$E$2:$E$51)+SUMIF(Wood!$B$2:$B$51,$D24,Wood!$E$2:$E$51)+SUMIF('AlumGlass Storefront'!$B$2:$B$51,$D24,'AlumGlass Storefront'!$E$2:$E$51)+SUMIF('FireRated NGP_TGP'!$B$2:$B$51,$D24,'FireRated NGP_TGP'!$E$2:$E$51)+SUMIF('Automated Opening'!$B$2:$B$51,$D24,'Automated Opening'!$E$2:$E$51)+SUMIF('Electrified Panic'!$B$2:$B$51,$D24,'Electrified Panic'!$E$2:$E$51)</f>
        <v>0</v>
      </c>
    </row>
    <row r="25" spans="1:5" ht="18" customHeight="1" x14ac:dyDescent="0.3">
      <c r="D25" t="s">
        <v>67</v>
      </c>
      <c r="E25">
        <f>SUMIF('Hollow Metal'!$B$2:$B$51,$D25,'Hollow Metal'!$E$2:$E$51)+SUMIF(Wood!$B$2:$B$51,$D25,Wood!$E$2:$E$51)+SUMIF('AlumGlass Storefront'!$B$2:$B$51,$D25,'AlumGlass Storefront'!$E$2:$E$51)+SUMIF('FireRated NGP_TGP'!$B$2:$B$51,$D25,'FireRated NGP_TGP'!$E$2:$E$51)+SUMIF('Automated Opening'!$B$2:$B$51,$D25,'Automated Opening'!$E$2:$E$51)+SUMIF('Electrified Panic'!$B$2:$B$51,$D25,'Electrified Panic'!$E$2:$E$51)</f>
        <v>0</v>
      </c>
    </row>
    <row r="26" spans="1:5" ht="18" customHeight="1" x14ac:dyDescent="0.3">
      <c r="D26" t="s">
        <v>57</v>
      </c>
      <c r="E26">
        <f>SUMIF('Hollow Metal'!$B$2:$B$51,$D26,'Hollow Metal'!$E$2:$E$51)+SUMIF(Wood!$B$2:$B$51,$D26,Wood!$E$2:$E$51)+SUMIF('AlumGlass Storefront'!$B$2:$B$51,$D26,'AlumGlass Storefront'!$E$2:$E$51)+SUMIF('FireRated NGP_TGP'!$B$2:$B$51,$D26,'FireRated NGP_TGP'!$E$2:$E$51)+SUMIF('Automated Opening'!$B$2:$B$51,$D26,'Automated Opening'!$E$2:$E$51)+SUMIF('Electrified Panic'!$B$2:$B$51,$D26,'Electrified Panic'!$E$2:$E$51)</f>
        <v>0</v>
      </c>
    </row>
    <row r="27" spans="1:5" ht="18" customHeight="1" x14ac:dyDescent="0.3">
      <c r="D27" t="s">
        <v>38</v>
      </c>
      <c r="E27">
        <f>SUMIF('Hollow Metal'!$B$2:$B$51,$D27,'Hollow Metal'!$E$2:$E$51)+SUMIF(Wood!$B$2:$B$51,$D27,Wood!$E$2:$E$51)+SUMIF('AlumGlass Storefront'!$B$2:$B$51,$D27,'AlumGlass Storefront'!$E$2:$E$51)+SUMIF('FireRated NGP_TGP'!$B$2:$B$51,$D27,'FireRated NGP_TGP'!$E$2:$E$51)+SUMIF('Automated Opening'!$B$2:$B$51,$D27,'Automated Opening'!$E$2:$E$51)+SUMIF('Electrified Panic'!$B$2:$B$51,$D27,'Electrified Panic'!$E$2:$E$51)</f>
        <v>0</v>
      </c>
    </row>
    <row r="28" spans="1:5" ht="18" customHeight="1" x14ac:dyDescent="0.3">
      <c r="D28" t="s">
        <v>86</v>
      </c>
      <c r="E28">
        <f>SUMIF('Hollow Metal'!$B$2:$B$51,$D28,'Hollow Metal'!$E$2:$E$51)+SUMIF(Wood!$B$2:$B$51,$D28,Wood!$E$2:$E$51)+SUMIF('AlumGlass Storefront'!$B$2:$B$51,$D28,'AlumGlass Storefront'!$E$2:$E$51)+SUMIF('FireRated NGP_TGP'!$B$2:$B$51,$D28,'FireRated NGP_TGP'!$E$2:$E$51)+SUMIF('Automated Opening'!$B$2:$B$51,$D28,'Automated Opening'!$E$2:$E$51)+SUMIF('Electrified Panic'!$B$2:$B$51,$D28,'Electrified Panic'!$E$2:$E$51)</f>
        <v>0</v>
      </c>
    </row>
    <row r="29" spans="1:5" ht="18" customHeight="1"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23</vt:i4>
      </vt:variant>
    </vt:vector>
  </HeadingPairs>
  <TitlesOfParts>
    <vt:vector size="32" baseType="lpstr">
      <vt:lpstr>Hollow Metal</vt:lpstr>
      <vt:lpstr>Lists</vt:lpstr>
      <vt:lpstr>Catalog</vt:lpstr>
      <vt:lpstr>Wood</vt:lpstr>
      <vt:lpstr>AlumGlass Storefront</vt:lpstr>
      <vt:lpstr>FireRated NGP_TGP</vt:lpstr>
      <vt:lpstr>Automated Opening</vt:lpstr>
      <vt:lpstr>Electrified Panic</vt:lpstr>
      <vt:lpstr>SUMMARY</vt:lpstr>
      <vt:lpstr>Accessories</vt:lpstr>
      <vt:lpstr>Arm_Track_Bracket</vt:lpstr>
      <vt:lpstr>Coordinator_Astragal</vt:lpstr>
      <vt:lpstr>Door</vt:lpstr>
      <vt:lpstr>Exit_Device</vt:lpstr>
      <vt:lpstr>Fasteners</vt:lpstr>
      <vt:lpstr>Finishes</vt:lpstr>
      <vt:lpstr>FireRatings</vt:lpstr>
      <vt:lpstr>Frame</vt:lpstr>
      <vt:lpstr>Gasketing_Seals_Threshold</vt:lpstr>
      <vt:lpstr>Handing</vt:lpstr>
      <vt:lpstr>Hinges</vt:lpstr>
      <vt:lpstr>ItemCategories</vt:lpstr>
      <vt:lpstr>Lock_Lever_Trim</vt:lpstr>
      <vt:lpstr>Maglock_Strike</vt:lpstr>
      <vt:lpstr>Operator</vt:lpstr>
      <vt:lpstr>Other</vt:lpstr>
      <vt:lpstr>Power_Supply</vt:lpstr>
      <vt:lpstr>Power_Transfer</vt:lpstr>
      <vt:lpstr>Reader_Keypad__By_Others_</vt:lpstr>
      <vt:lpstr>Relay_Timer</vt:lpstr>
      <vt:lpstr>Sensor_Plate_Push</vt:lpstr>
      <vt:lpstr>Vision_Lite_Glazing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Terry Patton</cp:lastModifiedBy>
  <dcterms:created xsi:type="dcterms:W3CDTF">2025-11-04T18:12:27Z</dcterms:created>
  <dcterms:modified xsi:type="dcterms:W3CDTF">2025-11-04T20:05:09Z</dcterms:modified>
</cp:coreProperties>
</file>