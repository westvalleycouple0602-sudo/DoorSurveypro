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s" sheetId="1" state="visible" r:id="rId1"/>
    <sheet xmlns:r="http://schemas.openxmlformats.org/officeDocument/2006/relationships" name="PriceMatrix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Addons" sheetId="4" state="visible" r:id="rId4"/>
    <sheet xmlns:r="http://schemas.openxmlformats.org/officeDocument/2006/relationships" name="Configurator" sheetId="5" state="visible" r:id="rId5"/>
    <sheet xmlns:r="http://schemas.openxmlformats.org/officeDocument/2006/relationships" name="Quote" sheetId="6" state="visible" r:id="rId6"/>
    <sheet xmlns:r="http://schemas.openxmlformats.org/officeDocument/2006/relationships" name="FinishMultipliers" sheetId="7" state="visible" r:id="rId7"/>
    <sheet xmlns:r="http://schemas.openxmlformats.org/officeDocument/2006/relationships" name="GlassOptions" sheetId="8" state="visible" r:id="rId8"/>
    <sheet xmlns:r="http://schemas.openxmlformats.org/officeDocument/2006/relationships" name="FrameKits" sheetId="9" state="visible" r:id="rId9"/>
    <sheet xmlns:r="http://schemas.openxmlformats.org/officeDocument/2006/relationships" name="AdvancedMultipliers" sheetId="10" state="visible" r:id="rId10"/>
  </sheets>
  <definedNames>
    <definedName name="Widths_Single">Lists!$B$3:$E$3</definedName>
    <definedName name="Widths_BiPart">Lists!$B$4:$E$4</definedName>
    <definedName name="KeyToPN">Mapping!$A$2:$B$22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10" fontId="0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2" fillId="0" borderId="1" pivotButton="0" quotePrefix="0" xfId="0"/>
    <xf numFmtId="164" fontId="2" fillId="0" borderId="0" pivotButton="0" quotePrefix="0" xfId="0"/>
    <xf numFmtId="0" fontId="0" fillId="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10" fontId="0" fillId="0" borderId="0" applyProtection="1" pivotButton="0" quotePrefix="0" xfId="0">
      <protection locked="0" hidden="0"/>
    </xf>
    <xf numFmtId="164" fontId="3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286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ESA100</t>
        </is>
      </c>
      <c r="C1" t="inlineStr">
        <is>
          <t>ESA200</t>
        </is>
      </c>
      <c r="D1" t="inlineStr">
        <is>
          <t>ESA300</t>
        </is>
      </c>
      <c r="E1" t="inlineStr">
        <is>
          <t>ESA100T</t>
        </is>
      </c>
      <c r="F1" t="inlineStr">
        <is>
          <t>ESA400</t>
        </is>
      </c>
      <c r="G1" t="inlineStr">
        <is>
          <t>ESA500</t>
        </is>
      </c>
    </row>
    <row r="2">
      <c r="A2" t="inlineStr">
        <is>
          <t>Config</t>
        </is>
      </c>
      <c r="B2" t="inlineStr">
        <is>
          <t>Single</t>
        </is>
      </c>
      <c r="C2" t="inlineStr">
        <is>
          <t>Bi-Part</t>
        </is>
      </c>
    </row>
    <row r="3">
      <c r="A3" t="inlineStr">
        <is>
          <t>Widths_Single</t>
        </is>
      </c>
      <c r="B3" t="inlineStr">
        <is>
          <t>5-0</t>
        </is>
      </c>
      <c r="C3" t="inlineStr">
        <is>
          <t>6-0</t>
        </is>
      </c>
      <c r="D3" t="inlineStr">
        <is>
          <t>7-0</t>
        </is>
      </c>
      <c r="E3" t="inlineStr">
        <is>
          <t>8-0</t>
        </is>
      </c>
    </row>
    <row r="4">
      <c r="A4" t="inlineStr">
        <is>
          <t>Widths_BiPart</t>
        </is>
      </c>
      <c r="B4" t="inlineStr">
        <is>
          <t>8-0</t>
        </is>
      </c>
      <c r="C4" t="inlineStr">
        <is>
          <t>9-0</t>
        </is>
      </c>
      <c r="D4" t="inlineStr">
        <is>
          <t>10-0</t>
        </is>
      </c>
      <c r="E4" t="inlineStr">
        <is>
          <t>12-0</t>
        </is>
      </c>
    </row>
    <row r="5">
      <c r="A5" t="inlineStr">
        <is>
          <t>Heights</t>
        </is>
      </c>
      <c r="B5" t="inlineStr">
        <is>
          <t>7-0</t>
        </is>
      </c>
      <c r="C5" t="inlineStr">
        <is>
          <t>8-0</t>
        </is>
      </c>
      <c r="D5" t="inlineStr">
        <is>
          <t>9-0</t>
        </is>
      </c>
    </row>
    <row r="6">
      <c r="A6" t="inlineStr">
        <is>
          <t>Finish</t>
        </is>
      </c>
      <c r="B6" t="inlineStr">
        <is>
          <t>SN (Satin Nickel)</t>
        </is>
      </c>
      <c r="C6" t="inlineStr">
        <is>
          <t>628 (Clear Anodized)</t>
        </is>
      </c>
      <c r="D6" t="inlineStr">
        <is>
          <t>689 (Aluminum Painted)</t>
        </is>
      </c>
    </row>
    <row r="7">
      <c r="A7" t="inlineStr">
        <is>
          <t>HeaderStyle</t>
        </is>
      </c>
      <c r="B7" t="inlineStr">
        <is>
          <t>Fine</t>
        </is>
      </c>
      <c r="C7" t="inlineStr">
        <is>
          <t>4x6</t>
        </is>
      </c>
    </row>
    <row r="8">
      <c r="A8" t="inlineStr">
        <is>
          <t>YesNo</t>
        </is>
      </c>
      <c r="B8" t="inlineStr">
        <is>
          <t>No</t>
        </is>
      </c>
      <c r="C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Model</t>
        </is>
      </c>
      <c r="C1" t="inlineStr">
        <is>
          <t>Config</t>
        </is>
      </c>
      <c r="D1" t="inlineStr">
        <is>
          <t>Width</t>
        </is>
      </c>
      <c r="E1" t="inlineStr">
        <is>
          <t>Base Price</t>
        </is>
      </c>
    </row>
    <row r="2">
      <c r="A2" t="inlineStr">
        <is>
          <t>ESA100-Single-6-0</t>
        </is>
      </c>
      <c r="B2" t="inlineStr">
        <is>
          <t>ESA100</t>
        </is>
      </c>
      <c r="C2" t="inlineStr">
        <is>
          <t>Single</t>
        </is>
      </c>
      <c r="D2" t="inlineStr">
        <is>
          <t>6-0</t>
        </is>
      </c>
      <c r="E2">
        <f>IFERROR(VLOOKUP(VLOOKUP(A2,KeyToPN,2,FALSE),[ENS_Order_Forms_Fixed_Merged.xlsx]Catalog!$B:$E,4,FALSE),0)</f>
        <v/>
      </c>
    </row>
    <row r="3">
      <c r="A3" t="inlineStr">
        <is>
          <t>ESA100-Single-7-0</t>
        </is>
      </c>
      <c r="B3" t="inlineStr">
        <is>
          <t>ESA100</t>
        </is>
      </c>
      <c r="C3" t="inlineStr">
        <is>
          <t>Single</t>
        </is>
      </c>
      <c r="D3" t="inlineStr">
        <is>
          <t>7-0</t>
        </is>
      </c>
      <c r="E3">
        <f>IFERROR(VLOOKUP(VLOOKUP(A3,KeyToPN,2,FALSE),[ENS_Order_Forms_Fixed_Merged.xlsx]Catalog!$B:$E,4,FALSE),0)</f>
        <v/>
      </c>
    </row>
    <row r="4">
      <c r="A4" t="inlineStr">
        <is>
          <t>ESA100-Single-8-0</t>
        </is>
      </c>
      <c r="B4" t="inlineStr">
        <is>
          <t>ESA100</t>
        </is>
      </c>
      <c r="C4" t="inlineStr">
        <is>
          <t>Single</t>
        </is>
      </c>
      <c r="D4" t="inlineStr">
        <is>
          <t>8-0</t>
        </is>
      </c>
      <c r="E4">
        <f>IFERROR(VLOOKUP(VLOOKUP(A4,KeyToPN,2,FALSE),[ENS_Order_Forms_Fixed_Merged.xlsx]Catalog!$B:$E,4,FALSE),0)</f>
        <v/>
      </c>
    </row>
    <row r="5">
      <c r="A5" t="inlineStr">
        <is>
          <t>ESA200-Single-6-0</t>
        </is>
      </c>
      <c r="B5" t="inlineStr">
        <is>
          <t>ESA200</t>
        </is>
      </c>
      <c r="C5" t="inlineStr">
        <is>
          <t>Single</t>
        </is>
      </c>
      <c r="D5" t="inlineStr">
        <is>
          <t>6-0</t>
        </is>
      </c>
      <c r="E5">
        <f>IFERROR(VLOOKUP(VLOOKUP(A5,KeyToPN,2,FALSE),[ENS_Order_Forms_Fixed_Merged.xlsx]Catalog!$B:$E,4,FALSE),0)</f>
        <v/>
      </c>
    </row>
    <row r="6">
      <c r="A6" t="inlineStr">
        <is>
          <t>ESA200-Single-7-0</t>
        </is>
      </c>
      <c r="B6" t="inlineStr">
        <is>
          <t>ESA200</t>
        </is>
      </c>
      <c r="C6" t="inlineStr">
        <is>
          <t>Single</t>
        </is>
      </c>
      <c r="D6" t="inlineStr">
        <is>
          <t>7-0</t>
        </is>
      </c>
      <c r="E6">
        <f>IFERROR(VLOOKUP(VLOOKUP(A6,KeyToPN,2,FALSE),[ENS_Order_Forms_Fixed_Merged.xlsx]Catalog!$B:$E,4,FALSE),0)</f>
        <v/>
      </c>
    </row>
    <row r="7">
      <c r="A7" t="inlineStr">
        <is>
          <t>ESA200-Single-8-0</t>
        </is>
      </c>
      <c r="B7" t="inlineStr">
        <is>
          <t>ESA200</t>
        </is>
      </c>
      <c r="C7" t="inlineStr">
        <is>
          <t>Single</t>
        </is>
      </c>
      <c r="D7" t="inlineStr">
        <is>
          <t>8-0</t>
        </is>
      </c>
      <c r="E7">
        <f>IFERROR(VLOOKUP(VLOOKUP(A7,KeyToPN,2,FALSE),[ENS_Order_Forms_Fixed_Merged.xlsx]Catalog!$B:$E,4,FALSE),0)</f>
        <v/>
      </c>
    </row>
    <row r="8">
      <c r="A8" t="inlineStr">
        <is>
          <t>ESA300-Single-6-0</t>
        </is>
      </c>
      <c r="B8" t="inlineStr">
        <is>
          <t>ESA300</t>
        </is>
      </c>
      <c r="C8" t="inlineStr">
        <is>
          <t>Single</t>
        </is>
      </c>
      <c r="D8" t="inlineStr">
        <is>
          <t>6-0</t>
        </is>
      </c>
      <c r="E8">
        <f>IFERROR(VLOOKUP(VLOOKUP(A8,KeyToPN,2,FALSE),[ENS_Order_Forms_Fixed_Merged.xlsx]Catalog!$B:$E,4,FALSE),0)</f>
        <v/>
      </c>
    </row>
    <row r="9">
      <c r="A9" t="inlineStr">
        <is>
          <t>ESA300-Single-7-0</t>
        </is>
      </c>
      <c r="B9" t="inlineStr">
        <is>
          <t>ESA300</t>
        </is>
      </c>
      <c r="C9" t="inlineStr">
        <is>
          <t>Single</t>
        </is>
      </c>
      <c r="D9" t="inlineStr">
        <is>
          <t>7-0</t>
        </is>
      </c>
      <c r="E9">
        <f>IFERROR(VLOOKUP(VLOOKUP(A9,KeyToPN,2,FALSE),[ENS_Order_Forms_Fixed_Merged.xlsx]Catalog!$B:$E,4,FALSE),0)</f>
        <v/>
      </c>
    </row>
    <row r="10">
      <c r="A10" t="inlineStr">
        <is>
          <t>ESA300-Single-8-0</t>
        </is>
      </c>
      <c r="B10" t="inlineStr">
        <is>
          <t>ESA300</t>
        </is>
      </c>
      <c r="C10" t="inlineStr">
        <is>
          <t>Single</t>
        </is>
      </c>
      <c r="D10" t="inlineStr">
        <is>
          <t>8-0</t>
        </is>
      </c>
      <c r="E10">
        <f>IFERROR(VLOOKUP(VLOOKUP(A10,KeyToPN,2,FALSE),[ENS_Order_Forms_Fixed_Merged.xlsx]Catalog!$B:$E,4,FALSE),0)</f>
        <v/>
      </c>
    </row>
    <row r="11">
      <c r="A11" t="inlineStr">
        <is>
          <t>ESA400-Single-7-0</t>
        </is>
      </c>
      <c r="B11" t="inlineStr">
        <is>
          <t>ESA400</t>
        </is>
      </c>
      <c r="C11" t="inlineStr">
        <is>
          <t>Single</t>
        </is>
      </c>
      <c r="D11" t="inlineStr">
        <is>
          <t>7-0</t>
        </is>
      </c>
      <c r="E11">
        <f>IFERROR(VLOOKUP(VLOOKUP(A11,KeyToPN,2,FALSE),[ENS_Order_Forms_Fixed_Merged.xlsx]Catalog!$B:$E,4,FALSE),0)</f>
        <v/>
      </c>
    </row>
    <row r="12">
      <c r="A12" t="inlineStr">
        <is>
          <t>ESA500-Single-7-0</t>
        </is>
      </c>
      <c r="B12" t="inlineStr">
        <is>
          <t>ESA500</t>
        </is>
      </c>
      <c r="C12" t="inlineStr">
        <is>
          <t>Single</t>
        </is>
      </c>
      <c r="D12" t="inlineStr">
        <is>
          <t>7-0</t>
        </is>
      </c>
      <c r="E12">
        <f>IFERROR(VLOOKUP(VLOOKUP(A12,KeyToPN,2,FALSE),[ENS_Order_Forms_Fixed_Merged.xlsx]Catalog!$B:$E,4,FALSE),0)</f>
        <v/>
      </c>
    </row>
    <row r="13">
      <c r="A13" t="inlineStr">
        <is>
          <t>ESA100T-Single-7-0</t>
        </is>
      </c>
      <c r="B13" t="inlineStr">
        <is>
          <t>ESA100T</t>
        </is>
      </c>
      <c r="C13" t="inlineStr">
        <is>
          <t>Single</t>
        </is>
      </c>
      <c r="D13" t="inlineStr">
        <is>
          <t>7-0</t>
        </is>
      </c>
      <c r="E13">
        <f>IFERROR(VLOOKUP(VLOOKUP(A13,KeyToPN,2,FALSE),[ENS_Order_Forms_Fixed_Merged.xlsx]Catalog!$B:$E,4,FALSE),0)</f>
        <v/>
      </c>
    </row>
    <row r="14">
      <c r="A14" t="inlineStr">
        <is>
          <t>ESA100-Bi-Part-8-0</t>
        </is>
      </c>
      <c r="B14" t="inlineStr">
        <is>
          <t>ESA100</t>
        </is>
      </c>
      <c r="C14" t="inlineStr">
        <is>
          <t>Bi-Part</t>
        </is>
      </c>
      <c r="D14" t="inlineStr">
        <is>
          <t>8-0</t>
        </is>
      </c>
      <c r="E14">
        <f>IFERROR(VLOOKUP(VLOOKUP(A14,KeyToPN,2,FALSE),[ENS_Order_Forms_Fixed_Merged.xlsx]Catalog!$B:$E,4,FALSE),0)</f>
        <v/>
      </c>
    </row>
    <row r="15">
      <c r="A15" t="inlineStr">
        <is>
          <t>ESA100-Bi-Part-10-0</t>
        </is>
      </c>
      <c r="B15" t="inlineStr">
        <is>
          <t>ESA100</t>
        </is>
      </c>
      <c r="C15" t="inlineStr">
        <is>
          <t>Bi-Part</t>
        </is>
      </c>
      <c r="D15" t="inlineStr">
        <is>
          <t>10-0</t>
        </is>
      </c>
      <c r="E15">
        <f>IFERROR(VLOOKUP(VLOOKUP(A15,KeyToPN,2,FALSE),[ENS_Order_Forms_Fixed_Merged.xlsx]Catalog!$B:$E,4,FALSE),0)</f>
        <v/>
      </c>
    </row>
    <row r="16">
      <c r="A16" t="inlineStr">
        <is>
          <t>ESA200-Bi-Part-8-0</t>
        </is>
      </c>
      <c r="B16" t="inlineStr">
        <is>
          <t>ESA200</t>
        </is>
      </c>
      <c r="C16" t="inlineStr">
        <is>
          <t>Bi-Part</t>
        </is>
      </c>
      <c r="D16" t="inlineStr">
        <is>
          <t>8-0</t>
        </is>
      </c>
      <c r="E16">
        <f>IFERROR(VLOOKUP(VLOOKUP(A16,KeyToPN,2,FALSE),[ENS_Order_Forms_Fixed_Merged.xlsx]Catalog!$B:$E,4,FALSE),0)</f>
        <v/>
      </c>
    </row>
    <row r="17">
      <c r="A17" t="inlineStr">
        <is>
          <t>ESA200-Bi-Part-10-0</t>
        </is>
      </c>
      <c r="B17" t="inlineStr">
        <is>
          <t>ESA200</t>
        </is>
      </c>
      <c r="C17" t="inlineStr">
        <is>
          <t>Bi-Part</t>
        </is>
      </c>
      <c r="D17" t="inlineStr">
        <is>
          <t>10-0</t>
        </is>
      </c>
      <c r="E17">
        <f>IFERROR(VLOOKUP(VLOOKUP(A17,KeyToPN,2,FALSE),[ENS_Order_Forms_Fixed_Merged.xlsx]Catalog!$B:$E,4,FALSE),0)</f>
        <v/>
      </c>
    </row>
    <row r="18">
      <c r="A18" t="inlineStr">
        <is>
          <t>ESA300-Bi-Part-8-0</t>
        </is>
      </c>
      <c r="B18" t="inlineStr">
        <is>
          <t>ESA300</t>
        </is>
      </c>
      <c r="C18" t="inlineStr">
        <is>
          <t>Bi-Part</t>
        </is>
      </c>
      <c r="D18" t="inlineStr">
        <is>
          <t>8-0</t>
        </is>
      </c>
      <c r="E18">
        <f>IFERROR(VLOOKUP(VLOOKUP(A18,KeyToPN,2,FALSE),[ENS_Order_Forms_Fixed_Merged.xlsx]Catalog!$B:$E,4,FALSE),0)</f>
        <v/>
      </c>
    </row>
    <row r="19">
      <c r="A19" t="inlineStr">
        <is>
          <t>ESA300-Bi-Part-10-0</t>
        </is>
      </c>
      <c r="B19" t="inlineStr">
        <is>
          <t>ESA300</t>
        </is>
      </c>
      <c r="C19" t="inlineStr">
        <is>
          <t>Bi-Part</t>
        </is>
      </c>
      <c r="D19" t="inlineStr">
        <is>
          <t>10-0</t>
        </is>
      </c>
      <c r="E19">
        <f>IFERROR(VLOOKUP(VLOOKUP(A19,KeyToPN,2,FALSE),[ENS_Order_Forms_Fixed_Merged.xlsx]Catalog!$B:$E,4,FALSE),0)</f>
        <v/>
      </c>
    </row>
    <row r="20">
      <c r="A20" t="inlineStr">
        <is>
          <t>ESA400-Bi-Part-10-0</t>
        </is>
      </c>
      <c r="B20" t="inlineStr">
        <is>
          <t>ESA400</t>
        </is>
      </c>
      <c r="C20" t="inlineStr">
        <is>
          <t>Bi-Part</t>
        </is>
      </c>
      <c r="D20" t="inlineStr">
        <is>
          <t>10-0</t>
        </is>
      </c>
      <c r="E20">
        <f>IFERROR(VLOOKUP(VLOOKUP(A20,KeyToPN,2,FALSE),[ENS_Order_Forms_Fixed_Merged.xlsx]Catalog!$B:$E,4,FALSE),0)</f>
        <v/>
      </c>
    </row>
    <row r="21">
      <c r="A21" t="inlineStr">
        <is>
          <t>ESA500-Bi-Part-10-0</t>
        </is>
      </c>
      <c r="B21" t="inlineStr">
        <is>
          <t>ESA500</t>
        </is>
      </c>
      <c r="C21" t="inlineStr">
        <is>
          <t>Bi-Part</t>
        </is>
      </c>
      <c r="D21" t="inlineStr">
        <is>
          <t>10-0</t>
        </is>
      </c>
      <c r="E21">
        <f>IFERROR(VLOOKUP(VLOOKUP(A21,KeyToPN,2,FALSE),[ENS_Order_Forms_Fixed_Merged.xlsx]Catalog!$B:$E,4,FALSE),0)</f>
        <v/>
      </c>
    </row>
    <row r="22">
      <c r="A22" t="inlineStr">
        <is>
          <t>ESA100T-Bi-Part-10-0</t>
        </is>
      </c>
      <c r="B22" t="inlineStr">
        <is>
          <t>ESA100T</t>
        </is>
      </c>
      <c r="C22" t="inlineStr">
        <is>
          <t>Bi-Part</t>
        </is>
      </c>
      <c r="D22" t="inlineStr">
        <is>
          <t>10-0</t>
        </is>
      </c>
      <c r="E22">
        <f>IFERROR(VLOOKUP(VLOOKUP(A22,KeyToPN,2,FALSE),[ENS_Order_Forms_Fixed_Merged.xlsx]Catalog!$B:$E,4,FALSE),0)</f>
        <v/>
      </c>
    </row>
    <row r="24">
      <c r="A24" t="inlineStr">
        <is>
          <t>Height</t>
        </is>
      </c>
      <c r="B24" t="inlineStr">
        <is>
          <t>Adder</t>
        </is>
      </c>
      <c r="E24">
        <f>IFERROR(VLOOKUP(VLOOKUP(A24,KeyToPN,2,FALSE),[ENS_Order_Forms_Fixed_Merged.xlsx]Catalog!$B:$E,4,FALSE),0)</f>
        <v/>
      </c>
    </row>
    <row r="25">
      <c r="A25" t="inlineStr">
        <is>
          <t>7-0</t>
        </is>
      </c>
      <c r="B25" t="n">
        <v>0</v>
      </c>
      <c r="E25">
        <f>IFERROR(VLOOKUP(VLOOKUP(A25,KeyToPN,2,FALSE),[ENS_Order_Forms_Fixed_Merged.xlsx]Catalog!$B:$E,4,FALSE),0)</f>
        <v/>
      </c>
    </row>
    <row r="26">
      <c r="A26" t="inlineStr">
        <is>
          <t>8-0</t>
        </is>
      </c>
      <c r="B26" t="n">
        <v>350</v>
      </c>
      <c r="E26">
        <f>IFERROR(VLOOKUP(VLOOKUP(A26,KeyToPN,2,FALSE),[ENS_Order_Forms_Fixed_Merged.xlsx]Catalog!$B:$E,4,FALSE),0)</f>
        <v/>
      </c>
    </row>
    <row r="27">
      <c r="A27" t="inlineStr">
        <is>
          <t>9-0</t>
        </is>
      </c>
      <c r="B27" t="n">
        <v>750</v>
      </c>
      <c r="E27">
        <f>IFERROR(VLOOKUP(VLOOKUP(A27,KeyToPN,2,FALSE),[ENS_Order_Forms_Fixed_Merged.xlsx]Catalog!$B:$E,4,FALSE),0)</f>
        <v/>
      </c>
    </row>
    <row r="29">
      <c r="A29" t="inlineStr">
        <is>
          <t>Transom (Yes=1/No=0)</t>
        </is>
      </c>
      <c r="B29" t="inlineStr">
        <is>
          <t>Adder</t>
        </is>
      </c>
      <c r="E29">
        <f>IFERROR(VLOOKUP(VLOOKUP(A29,KeyToPN,2,FALSE),[ENS_Order_Forms_Fixed_Merged.xlsx]Catalog!$B:$E,4,FALSE),0)</f>
        <v/>
      </c>
    </row>
    <row r="30">
      <c r="A30" t="n">
        <v>1</v>
      </c>
      <c r="B30" t="n">
        <v>500</v>
      </c>
      <c r="E30">
        <f>IFERROR(VLOOKUP(VLOOKUP(A30,KeyToPN,2,FALSE),[ENS_Order_Forms_Fixed_Merged.xlsx]Catalog!$B:$E,4,FALSE),0)</f>
        <v/>
      </c>
    </row>
    <row r="31">
      <c r="A31" t="n">
        <v>0</v>
      </c>
      <c r="B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Key</t>
        </is>
      </c>
      <c r="B1" s="2" t="inlineStr">
        <is>
          <t>Part Number</t>
        </is>
      </c>
      <c r="C1" s="2" t="inlineStr">
        <is>
          <t>Notes</t>
        </is>
      </c>
    </row>
    <row r="2">
      <c r="A2" t="inlineStr">
        <is>
          <t>ESA100-Single-6-0</t>
        </is>
      </c>
      <c r="B2" t="inlineStr">
        <is>
          <t>ESA100-SGL</t>
        </is>
      </c>
    </row>
    <row r="3">
      <c r="A3" t="inlineStr">
        <is>
          <t>ESA100-Single-7-0</t>
        </is>
      </c>
      <c r="B3" t="inlineStr">
        <is>
          <t>ESA100-SGL</t>
        </is>
      </c>
      <c r="C3" t="inlineStr">
        <is>
          <t>Use height adder</t>
        </is>
      </c>
    </row>
    <row r="4">
      <c r="A4" t="inlineStr">
        <is>
          <t>ESA100-Single-8-0</t>
        </is>
      </c>
      <c r="B4" t="inlineStr">
        <is>
          <t>ESA100-SGL</t>
        </is>
      </c>
      <c r="C4" t="inlineStr">
        <is>
          <t>Use height adder</t>
        </is>
      </c>
    </row>
    <row r="5">
      <c r="A5" t="inlineStr">
        <is>
          <t>ESA200-Single-6-0</t>
        </is>
      </c>
      <c r="B5" t="inlineStr">
        <is>
          <t>ESA200-SGL</t>
        </is>
      </c>
    </row>
    <row r="6">
      <c r="A6" t="inlineStr">
        <is>
          <t>ESA200-Single-7-0</t>
        </is>
      </c>
      <c r="B6" t="inlineStr">
        <is>
          <t>ESA200-SGL</t>
        </is>
      </c>
    </row>
    <row r="7">
      <c r="A7" t="inlineStr">
        <is>
          <t>ESA200-Single-8-0</t>
        </is>
      </c>
      <c r="B7" t="inlineStr">
        <is>
          <t>ESA200-SGL</t>
        </is>
      </c>
    </row>
    <row r="8">
      <c r="A8" t="inlineStr">
        <is>
          <t>ESA300-Single-6-0</t>
        </is>
      </c>
      <c r="B8" t="inlineStr">
        <is>
          <t>ESA300-SGL</t>
        </is>
      </c>
    </row>
    <row r="9">
      <c r="A9" t="inlineStr">
        <is>
          <t>ESA300-Single-7-0</t>
        </is>
      </c>
      <c r="B9" t="inlineStr">
        <is>
          <t>ESA300-SGL</t>
        </is>
      </c>
    </row>
    <row r="10">
      <c r="A10" t="inlineStr">
        <is>
          <t>ESA300-Single-8-0</t>
        </is>
      </c>
      <c r="B10" t="inlineStr">
        <is>
          <t>ESA300-SGL</t>
        </is>
      </c>
    </row>
    <row r="11">
      <c r="A11" t="inlineStr">
        <is>
          <t>ESA400-Single-7-0</t>
        </is>
      </c>
      <c r="B11" t="inlineStr">
        <is>
          <t>ESA400-SGL-7</t>
        </is>
      </c>
    </row>
    <row r="12">
      <c r="A12" t="inlineStr">
        <is>
          <t>ESA500-Single-7-0</t>
        </is>
      </c>
      <c r="B12" t="inlineStr">
        <is>
          <t>ESA500-SGL-7</t>
        </is>
      </c>
    </row>
    <row r="13">
      <c r="A13" t="inlineStr">
        <is>
          <t>ESA100T-Single-7-0</t>
        </is>
      </c>
      <c r="B13" t="inlineStr">
        <is>
          <t>ESA100T-SGL</t>
        </is>
      </c>
    </row>
    <row r="14">
      <c r="A14" t="inlineStr">
        <is>
          <t>ESA100-Bi-Part-8-0</t>
        </is>
      </c>
      <c r="B14" t="inlineStr">
        <is>
          <t>ESA100-BP</t>
        </is>
      </c>
    </row>
    <row r="15">
      <c r="A15" t="inlineStr">
        <is>
          <t>ESA100-Bi-Part-10-0</t>
        </is>
      </c>
      <c r="B15" t="inlineStr">
        <is>
          <t>ESA100-BP</t>
        </is>
      </c>
      <c r="C15" t="inlineStr">
        <is>
          <t>Use width adder</t>
        </is>
      </c>
    </row>
    <row r="16">
      <c r="A16" t="inlineStr">
        <is>
          <t>ESA200-Bi-Part-8-0</t>
        </is>
      </c>
      <c r="B16" t="inlineStr">
        <is>
          <t>ESA200-BP</t>
        </is>
      </c>
    </row>
    <row r="17">
      <c r="A17" t="inlineStr">
        <is>
          <t>ESA200-Bi-Part-10-0</t>
        </is>
      </c>
      <c r="B17" t="inlineStr">
        <is>
          <t>ESA200-BP</t>
        </is>
      </c>
    </row>
    <row r="18">
      <c r="A18" t="inlineStr">
        <is>
          <t>ESA300-Bi-Part-8-0</t>
        </is>
      </c>
      <c r="B18" t="inlineStr">
        <is>
          <t>ESA300-BP</t>
        </is>
      </c>
    </row>
    <row r="19">
      <c r="A19" t="inlineStr">
        <is>
          <t>ESA300-Bi-Part-10-0</t>
        </is>
      </c>
      <c r="B19" t="inlineStr">
        <is>
          <t>ESA300-BP</t>
        </is>
      </c>
    </row>
    <row r="20">
      <c r="A20" t="inlineStr">
        <is>
          <t>ESA400-Bi-Part-10-0</t>
        </is>
      </c>
      <c r="B20" t="inlineStr">
        <is>
          <t>ESA400-BP-10</t>
        </is>
      </c>
    </row>
    <row r="21">
      <c r="A21" t="inlineStr">
        <is>
          <t>ESA500-Bi-Part-10-0</t>
        </is>
      </c>
      <c r="B21" t="inlineStr">
        <is>
          <t>ESA500-BP-10</t>
        </is>
      </c>
    </row>
    <row r="22">
      <c r="A22" t="inlineStr">
        <is>
          <t>ESA100T-Bi-Part-10-0</t>
        </is>
      </c>
      <c r="B22" t="inlineStr">
        <is>
          <t>ESA100T-BP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Addon</t>
        </is>
      </c>
      <c r="B1" t="inlineStr">
        <is>
          <t>Default Qty</t>
        </is>
      </c>
      <c r="C1" t="inlineStr">
        <is>
          <t>Unit Price</t>
        </is>
      </c>
      <c r="D1" t="inlineStr">
        <is>
          <t>Notes</t>
        </is>
      </c>
    </row>
    <row r="2">
      <c r="A2" t="inlineStr">
        <is>
          <t>BEA 10EAGLE motion sensor (each)</t>
        </is>
      </c>
      <c r="B2" t="n">
        <v>2</v>
      </c>
      <c r="C2" t="n">
        <v>227</v>
      </c>
    </row>
    <row r="3">
      <c r="A3" t="inlineStr">
        <is>
          <t>BEA IXIO safety sensor (each)</t>
        </is>
      </c>
      <c r="B3" t="n">
        <v>2</v>
      </c>
      <c r="C3" t="n">
        <v>1316</v>
      </c>
      <c r="D3" t="inlineStr">
        <is>
          <t>Advanced presence/motion combo</t>
        </is>
      </c>
    </row>
    <row r="4">
      <c r="A4" t="inlineStr">
        <is>
          <t>Push plate pair w/ logos</t>
        </is>
      </c>
      <c r="B4" t="n">
        <v>1</v>
      </c>
      <c r="C4" t="n">
        <v>118</v>
      </c>
      <c r="D4" t="inlineStr">
        <is>
          <t>Two 4.5in plates</t>
        </is>
      </c>
    </row>
    <row r="5">
      <c r="A5" t="inlineStr">
        <is>
          <t>Dual keyswitch (DX4604-21C)</t>
        </is>
      </c>
      <c r="B5" t="n">
        <v>1</v>
      </c>
      <c r="C5" t="n">
        <v>370</v>
      </c>
      <c r="D5" t="inlineStr">
        <is>
          <t>RJ45 remote jamb mount</t>
        </is>
      </c>
    </row>
    <row r="6">
      <c r="A6" t="inlineStr">
        <is>
          <t>Battery backup (DS2890-010)</t>
        </is>
      </c>
      <c r="B6" t="n">
        <v>1</v>
      </c>
      <c r="C6" t="n">
        <v>243</v>
      </c>
      <c r="D6" t="inlineStr">
        <is>
          <t>Open/Close/Normal</t>
        </is>
      </c>
    </row>
    <row r="7">
      <c r="A7" t="inlineStr">
        <is>
          <t>Fire alarm interface relay</t>
        </is>
      </c>
      <c r="B7" t="n">
        <v>1</v>
      </c>
      <c r="C7" t="n">
        <v>65</v>
      </c>
      <c r="D7" t="inlineStr">
        <is>
          <t>Tie-in relay only</t>
        </is>
      </c>
    </row>
    <row r="8">
      <c r="A8" t="inlineStr">
        <is>
          <t>Threshold 4-ft</t>
        </is>
      </c>
      <c r="B8" t="n">
        <v>1</v>
      </c>
      <c r="C8" t="n">
        <v>95</v>
      </c>
      <c r="D8" t="inlineStr">
        <is>
          <t>Aluminum threshold</t>
        </is>
      </c>
    </row>
    <row r="9">
      <c r="A9" t="inlineStr">
        <is>
          <t>Threshold 6-ft</t>
        </is>
      </c>
      <c r="B9" t="n">
        <v>1</v>
      </c>
      <c r="C9" t="n">
        <v>135</v>
      </c>
      <c r="D9" t="inlineStr">
        <is>
          <t>Aluminum threshold</t>
        </is>
      </c>
    </row>
    <row r="10">
      <c r="A10" t="inlineStr">
        <is>
          <t>Extra safety sensor (per leaf)</t>
        </is>
      </c>
      <c r="B10" t="n">
        <v>1</v>
      </c>
      <c r="C10" t="n">
        <v>300</v>
      </c>
      <c r="D10" t="inlineStr">
        <is>
          <t>Add coverage on bi-part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/>
    <row r="2">
      <c r="B2" s="1" t="inlineStr">
        <is>
          <t>Automatic Sliding Door Configurator</t>
        </is>
      </c>
    </row>
    <row r="3"/>
    <row r="4">
      <c r="B4" s="2" t="inlineStr">
        <is>
          <t>Model</t>
        </is>
      </c>
      <c r="C4" s="12" t="n"/>
      <c r="E4" s="2" t="inlineStr">
        <is>
          <t>Lookup Key</t>
        </is>
      </c>
      <c r="F4">
        <f>C4 &amp; "-" &amp; C5 &amp; "-" &amp; C6</f>
        <v/>
      </c>
    </row>
    <row r="5">
      <c r="B5" s="2" t="inlineStr">
        <is>
          <t>Configuration</t>
        </is>
      </c>
      <c r="C5" s="12" t="n"/>
      <c r="E5" s="2" t="inlineStr">
        <is>
          <t>Base Price</t>
        </is>
      </c>
      <c r="F5">
        <f>IFERROR(VLOOKUP(F4,PriceMatrix!$A:$E,5,FALSE),0)</f>
        <v/>
      </c>
    </row>
    <row r="6">
      <c r="B6" s="2" t="inlineStr">
        <is>
          <t>Clear Opening Width (COW)</t>
        </is>
      </c>
      <c r="C6" s="12" t="n"/>
      <c r="E6" s="2" t="inlineStr">
        <is>
          <t>Height Adder</t>
        </is>
      </c>
      <c r="F6">
        <f>IFERROR(VLOOKUP(C7,PriceMatrix!$G:$H,2,FALSE),0)</f>
        <v/>
      </c>
    </row>
    <row r="7">
      <c r="B7" s="2" t="inlineStr">
        <is>
          <t>Overall Height</t>
        </is>
      </c>
      <c r="C7" s="12" t="n"/>
      <c r="E7" s="2" t="inlineStr">
        <is>
          <t>Transom Adder</t>
        </is>
      </c>
      <c r="F7">
        <f>IFERROR(VLOOKUP(IF(C10="Yes",1,0),PriceMatrix!$J:$K,2,FALSE),0)</f>
        <v/>
      </c>
    </row>
    <row r="8">
      <c r="B8" s="2" t="inlineStr">
        <is>
          <t>Finish</t>
        </is>
      </c>
      <c r="C8" s="12" t="n"/>
      <c r="E8" s="2" t="inlineStr">
        <is>
          <t>Pkg Subtotal (pre-finish)</t>
        </is>
      </c>
      <c r="F8">
        <f>F5+F6+F7</f>
        <v/>
      </c>
    </row>
    <row r="9">
      <c r="B9" s="2" t="inlineStr">
        <is>
          <t>Header Style</t>
        </is>
      </c>
      <c r="C9" s="12" t="n"/>
      <c r="E9" s="2" t="inlineStr">
        <is>
          <t>Multipliers (combined)</t>
        </is>
      </c>
      <c r="F9">
        <f>PRODUCT(IFERROR(VLOOKUP("Finish"&amp;"|"&amp;C8,CHOOSE({1,2},AdvancedMultipliers!$A$2:$A$100&amp;"|"&amp;AdvancedMultipliers!$B$2:$B$100,AdvancedMultipliers!$C$2:$C$100),2,FALSE),1),IFERROR(VLOOKUP("Model"&amp;"|"&amp;C4,CHOOSE({1,2},AdvancedMultipliers!$A$2:$A$100&amp;"|"&amp;AdvancedMultipliers!$B$2:$B$100,AdvancedMultipliers!$C$2:$C$100),2,FALSE),1),IFERROR(VLOOKUP("Frame"&amp;"|"&amp;C12,CHOOSE({1,2},AdvancedMultipliers!$A$2:$A$100&amp;"|"&amp;AdvancedMultipliers!$B$2:$B$100,AdvancedMultipliers!$C$2:$C$100),2,FALSE),1),IFERROR(VLOOKUP("Glass"&amp;"|"&amp;C11,CHOOSE({1,2},AdvancedMultipliers!$A$2:$A$100&amp;"|"&amp;AdvancedMultipliers!$B$2:$B$100,AdvancedMultipliers!$C$2:$C$100),2,FALSE),1))</f>
        <v/>
      </c>
    </row>
    <row r="10">
      <c r="B10" s="2" t="inlineStr">
        <is>
          <t>Transom</t>
        </is>
      </c>
      <c r="C10" s="12" t="n"/>
      <c r="E10" s="2" t="inlineStr">
        <is>
          <t>Pkg Subtotal (after finish)</t>
        </is>
      </c>
      <c r="F10">
        <f>F8*F9</f>
        <v/>
      </c>
    </row>
    <row r="11">
      <c r="B11" s="2" t="inlineStr">
        <is>
          <t>Glass Option</t>
        </is>
      </c>
      <c r="C11" s="12" t="inlineStr"/>
      <c r="E11" s="2" t="inlineStr">
        <is>
          <t>Glass Adder</t>
        </is>
      </c>
      <c r="F11">
        <f>IFERROR(VLOOKUP(C11,GlassOptions!$A:$B,2,FALSE),0)</f>
        <v/>
      </c>
    </row>
    <row r="12">
      <c r="B12" s="3" t="inlineStr">
        <is>
          <t>Frame Kit</t>
        </is>
      </c>
      <c r="C12" s="13" t="inlineStr"/>
      <c r="D12" s="3" t="inlineStr">
        <is>
          <t>Addon</t>
        </is>
      </c>
      <c r="E12" s="3" t="inlineStr">
        <is>
          <t>Frame Adder</t>
        </is>
      </c>
      <c r="F12" s="3">
        <f>IFERROR(VLOOKUP(C12,FrameKits!$A:$B,2,FALSE),0)</f>
        <v/>
      </c>
      <c r="G12" s="3" t="inlineStr">
        <is>
          <t>Ext</t>
        </is>
      </c>
    </row>
    <row r="13">
      <c r="B13" s="14" t="inlineStr">
        <is>
          <t>No</t>
        </is>
      </c>
      <c r="C13" s="5">
        <f>IF(B13="Yes","☑","☐")</f>
        <v/>
      </c>
      <c r="D13" s="4">
        <f>Addons!A2</f>
        <v/>
      </c>
      <c r="E13" s="15" t="inlineStr">
        <is>
          <t>Pkg + Glass + Frame</t>
        </is>
      </c>
      <c r="F13" s="4">
        <f>F10+F11+F12</f>
        <v/>
      </c>
      <c r="G13" s="4">
        <f>IF(B13="Yes",E13*F13,0)</f>
        <v/>
      </c>
    </row>
    <row r="14">
      <c r="B14" s="15">
        <f>IF(OR(C7="8-0",C7="9-0"),"Yes","No")</f>
        <v/>
      </c>
      <c r="C14" s="16" t="inlineStr"/>
      <c r="D14" s="4">
        <f>Addons!A3</f>
        <v/>
      </c>
      <c r="E14" s="14">
        <f>Addons!B3</f>
        <v/>
      </c>
      <c r="F14" s="4">
        <f>Addons!C3</f>
        <v/>
      </c>
      <c r="G14" s="4">
        <f>IF(B14="Yes",E14*F14,0)</f>
        <v/>
      </c>
    </row>
    <row r="15">
      <c r="B15" s="15" t="inlineStr">
        <is>
          <t>Terms / Notes</t>
        </is>
      </c>
      <c r="C15" s="16" t="inlineStr"/>
      <c r="D15" s="4">
        <f>Addons!A4</f>
        <v/>
      </c>
      <c r="E15" s="14">
        <f>Addons!B4</f>
        <v/>
      </c>
      <c r="F15" s="4">
        <f>Addons!C4</f>
        <v/>
      </c>
      <c r="G15" s="4">
        <f>IF(B15="Yes",E15*F15,0)</f>
        <v/>
      </c>
    </row>
    <row r="16">
      <c r="B16" s="14" t="inlineStr">
        <is>
          <t>No</t>
        </is>
      </c>
      <c r="C16" s="5">
        <f>IF(B16="Yes","☑","☐")</f>
        <v/>
      </c>
      <c r="D16" s="4">
        <f>Addons!A5</f>
        <v/>
      </c>
      <c r="E16" s="14">
        <f>Addons!B5</f>
        <v/>
      </c>
      <c r="F16" s="4">
        <f>Addons!C5</f>
        <v/>
      </c>
      <c r="G16" s="4">
        <f>IF(B16="Yes",E16*F16,0)</f>
        <v/>
      </c>
    </row>
    <row r="17">
      <c r="B17" s="14" t="inlineStr">
        <is>
          <t>No</t>
        </is>
      </c>
      <c r="C17" s="5">
        <f>IF(B17="Yes","☑","☐")</f>
        <v/>
      </c>
      <c r="D17" s="4">
        <f>Addons!A6</f>
        <v/>
      </c>
      <c r="E17" s="14">
        <f>Addons!B6</f>
        <v/>
      </c>
      <c r="F17" s="4">
        <f>Addons!C6</f>
        <v/>
      </c>
      <c r="G17" s="4">
        <f>IF(B17="Yes",E17*F17,0)</f>
        <v/>
      </c>
    </row>
    <row r="18">
      <c r="B18" s="14" t="inlineStr">
        <is>
          <t>No</t>
        </is>
      </c>
      <c r="C18" s="5">
        <f>IF(B18="Yes","☑","☐")</f>
        <v/>
      </c>
      <c r="D18" s="4">
        <f>Addons!A7</f>
        <v/>
      </c>
      <c r="E18" s="14">
        <f>Addons!B7</f>
        <v/>
      </c>
      <c r="F18" s="4">
        <f>Addons!C7</f>
        <v/>
      </c>
      <c r="G18" s="4">
        <f>IF(B18="Yes",E18*F18,0)</f>
        <v/>
      </c>
    </row>
    <row r="19">
      <c r="B19" s="14" t="inlineStr">
        <is>
          <t>No</t>
        </is>
      </c>
      <c r="C19" s="5">
        <f>IF(B19="Yes","☑","☐")</f>
        <v/>
      </c>
      <c r="D19" s="4">
        <f>Addons!A8</f>
        <v/>
      </c>
      <c r="E19" s="14">
        <f>Addons!B8</f>
        <v/>
      </c>
      <c r="F19" s="4">
        <f>Addons!C8</f>
        <v/>
      </c>
      <c r="G19" s="4">
        <f>IF(B19="Yes",E19*F19,0)</f>
        <v/>
      </c>
    </row>
    <row r="20">
      <c r="B20" s="14" t="inlineStr">
        <is>
          <t>No</t>
        </is>
      </c>
      <c r="C20" s="5">
        <f>IF(B20="Yes","☑","☐")</f>
        <v/>
      </c>
      <c r="D20" s="4">
        <f>Addons!A9</f>
        <v/>
      </c>
      <c r="E20" s="14">
        <f>Addons!B9</f>
        <v/>
      </c>
      <c r="F20" s="4">
        <f>Addons!C9</f>
        <v/>
      </c>
      <c r="G20" s="4">
        <f>IF(B20="Yes",E20*F20,0)</f>
        <v/>
      </c>
    </row>
    <row r="21">
      <c r="B21" s="14">
        <f>IF(C5="Bi-Part","Yes","No")</f>
        <v/>
      </c>
      <c r="C21" s="5">
        <f>IF(B21="Yes","☑","☐")</f>
        <v/>
      </c>
      <c r="D21" s="4">
        <f>Addons!A10</f>
        <v/>
      </c>
      <c r="E21" s="14">
        <f>Addons!B10</f>
        <v/>
      </c>
      <c r="F21" s="4">
        <f>Addons!C10</f>
        <v/>
      </c>
      <c r="G21" s="4">
        <f>IF(B21="Yes",E21*F21,0)</f>
        <v/>
      </c>
    </row>
    <row r="22">
      <c r="F22" s="2" t="inlineStr">
        <is>
          <t>Addons Subtotal</t>
        </is>
      </c>
      <c r="G22" s="2">
        <f>SUM(G13:G21)</f>
        <v/>
      </c>
    </row>
    <row r="23">
      <c r="F23" s="2" t="inlineStr">
        <is>
          <t>Tax Rate</t>
        </is>
      </c>
      <c r="G23" s="17" t="n">
        <v>0</v>
      </c>
    </row>
    <row r="24">
      <c r="F24" s="2" t="inlineStr">
        <is>
          <t>Freight ($)</t>
        </is>
      </c>
      <c r="G24" s="18" t="n">
        <v>0</v>
      </c>
    </row>
    <row r="25">
      <c r="F25" s="2" t="inlineStr">
        <is>
          <t>Subtotal</t>
        </is>
      </c>
      <c r="G25" s="9">
        <f>F13+G22</f>
        <v/>
      </c>
    </row>
    <row r="26">
      <c r="F26" s="2" t="inlineStr">
        <is>
          <t>Tax</t>
        </is>
      </c>
      <c r="G26" s="9">
        <f>G25*G23</f>
        <v/>
      </c>
    </row>
    <row r="27">
      <c r="F27" s="6" t="inlineStr">
        <is>
          <t>Grand Total</t>
        </is>
      </c>
      <c r="G27" s="8">
        <f>G25+G26+G24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D1"/>
  <dataValidations count="20">
    <dataValidation sqref="C4" showErrorMessage="1" showInputMessage="1" allowBlank="0" type="list">
      <formula1>=Lists!$B$1:$G$1</formula1>
    </dataValidation>
    <dataValidation sqref="C5" showErrorMessage="1" showInputMessage="1" allowBlank="0" type="list">
      <formula1>=Lists!$B$2:$C$2</formula1>
    </dataValidation>
    <dataValidation sqref="C7" showErrorMessage="1" showInputMessage="1" allowBlank="0" type="list">
      <formula1>=Lists!$B$5:$D$5</formula1>
    </dataValidation>
    <dataValidation sqref="C8" showErrorMessage="1" showInputMessage="1" allowBlank="1" type="list">
      <formula1>=Lists!$B$6:$D$6</formula1>
    </dataValidation>
    <dataValidation sqref="C9" showErrorMessage="1" showInputMessage="1" allowBlank="1" type="list">
      <formula1>=Lists!$B$7:$C$7</formula1>
    </dataValidation>
    <dataValidation sqref="C10" showErrorMessage="1" showInputMessage="1" allowBlank="0" type="list">
      <formula1>=Lists!$B$8:$C$8</formula1>
    </dataValidation>
    <dataValidation sqref="C6" showErrorMessage="1" showInputMessage="1" allowBlank="1" type="list">
      <formula1>=Lists!$B$3:$E$3</formula1>
    </dataValidation>
    <dataValidation sqref="C6" showErrorMessage="1" showInputMessage="1" allowBlank="1" type="list">
      <formula1>=Lists!$B$4:$E$4</formula1>
    </dataValidation>
    <dataValidation sqref="B13" showErrorMessage="1" showInputMessage="1" allowBlank="0" type="list">
      <formula1>=Lists!$B$8:$C$8</formula1>
    </dataValidation>
    <dataValidation sqref="B14" showErrorMessage="1" showInputMessage="1" allowBlank="0" type="list">
      <formula1>=Lists!$B$8:$C$8</formula1>
    </dataValidation>
    <dataValidation sqref="B15" showErrorMessage="1" showInputMessage="1" allowBlank="0" type="list">
      <formula1>=Lists!$B$8:$C$8</formula1>
    </dataValidation>
    <dataValidation sqref="B16" showErrorMessage="1" showInputMessage="1" allowBlank="0" type="list">
      <formula1>=Lists!$B$8:$C$8</formula1>
    </dataValidation>
    <dataValidation sqref="B17" showErrorMessage="1" showInputMessage="1" allowBlank="0" type="list">
      <formula1>=Lists!$B$8:$C$8</formula1>
    </dataValidation>
    <dataValidation sqref="B18" showErrorMessage="1" showInputMessage="1" allowBlank="0" type="list">
      <formula1>=Lists!$B$8:$C$8</formula1>
    </dataValidation>
    <dataValidation sqref="B19" showErrorMessage="1" showInputMessage="1" allowBlank="0" type="list">
      <formula1>=Lists!$B$8:$C$8</formula1>
    </dataValidation>
    <dataValidation sqref="B20" showErrorMessage="1" showInputMessage="1" allowBlank="0" type="list">
      <formula1>=Lists!$B$8:$C$8</formula1>
    </dataValidation>
    <dataValidation sqref="B21" showErrorMessage="1" showInputMessage="1" allowBlank="0" type="list">
      <formula1>=Lists!$B$8:$C$8</formula1>
    </dataValidation>
    <dataValidation sqref="C6" showErrorMessage="1" showInputMessage="1" allowBlank="0" type="list">
      <formula1>=INDIRECT("Widths_" &amp; SUBSTITUTE(C5,"-",""))</formula1>
    </dataValidation>
    <dataValidation sqref="C11" showErrorMessage="1" showInputMessage="1" allowBlank="0" type="list">
      <formula1>=GlassOptions!$A$2:$A$5</formula1>
    </dataValidation>
    <dataValidation sqref="C12" showErrorMessage="1" showInputMessage="1" allowBlank="0" type="list">
      <formula1>=FrameKits!$A$2:$A$5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18" customWidth="1" min="4" max="4"/>
  </cols>
  <sheetData>
    <row r="1">
      <c r="A1" s="1" t="inlineStr">
        <is>
          <t>Lanmor Systems — Automatic Sliding Door Quote</t>
        </is>
      </c>
    </row>
    <row r="2">
      <c r="A2" t="inlineStr">
        <is>
          <t>Your Company</t>
        </is>
      </c>
      <c r="B2" s="12" t="inlineStr"/>
      <c r="C2" s="2" t="inlineStr">
        <is>
          <t>Date</t>
        </is>
      </c>
      <c r="D2" s="2" t="inlineStr">
        <is>
          <t>Quote #</t>
        </is>
      </c>
    </row>
    <row r="3">
      <c r="A3" t="inlineStr">
        <is>
          <t>Address</t>
        </is>
      </c>
      <c r="B3" s="12" t="inlineStr"/>
      <c r="C3">
        <f>TODAY()</f>
        <v/>
      </c>
      <c r="D3">
        <f>TEXT(TODAY(),"yymmdd")&amp;"-"&amp;TEXT(RANDBETWEEN(1,999),"000")</f>
        <v/>
      </c>
    </row>
    <row r="4">
      <c r="A4" t="inlineStr">
        <is>
          <t>City, State ZIP</t>
        </is>
      </c>
      <c r="B4" s="12" t="inlineStr"/>
    </row>
    <row r="5">
      <c r="A5" s="2" t="inlineStr">
        <is>
          <t>Contact</t>
        </is>
      </c>
      <c r="B5" s="12" t="inlineStr"/>
    </row>
    <row r="6">
      <c r="A6" s="2" t="inlineStr">
        <is>
          <t>Email</t>
        </is>
      </c>
      <c r="B6" s="12" t="inlineStr"/>
    </row>
    <row r="7">
      <c r="A7" s="2" t="inlineStr">
        <is>
          <t>Phone</t>
        </is>
      </c>
      <c r="B7" s="12" t="inlineStr"/>
    </row>
    <row r="8">
      <c r="A8" s="2" t="inlineStr">
        <is>
          <t>Clear Opening Width</t>
        </is>
      </c>
      <c r="B8">
        <f>Configurator!C6</f>
        <v/>
      </c>
    </row>
    <row r="9">
      <c r="A9" s="2" t="inlineStr">
        <is>
          <t>Overall Height</t>
        </is>
      </c>
      <c r="B9">
        <f>Configurator!C7</f>
        <v/>
      </c>
    </row>
    <row r="10">
      <c r="A10" s="2" t="inlineStr">
        <is>
          <t>Finish</t>
        </is>
      </c>
      <c r="B10">
        <f>Configurator!C8</f>
        <v/>
      </c>
    </row>
    <row r="11">
      <c r="A11" s="2" t="inlineStr">
        <is>
          <t>Header Style</t>
        </is>
      </c>
      <c r="B11">
        <f>Configurator!C9</f>
        <v/>
      </c>
    </row>
    <row r="12">
      <c r="A12" s="2" t="inlineStr">
        <is>
          <t>Transom</t>
        </is>
      </c>
      <c r="B12">
        <f>Configurator!C10</f>
        <v/>
      </c>
    </row>
    <row r="13">
      <c r="A13" s="2" t="inlineStr">
        <is>
          <t>Base Price</t>
        </is>
      </c>
      <c r="B13" s="9">
        <f>Configurator!F5</f>
        <v/>
      </c>
    </row>
    <row r="14">
      <c r="A14" s="2" t="inlineStr">
        <is>
          <t>Base Price</t>
        </is>
      </c>
      <c r="B14" s="9">
        <f>Configurator!F5</f>
        <v/>
      </c>
    </row>
    <row r="15">
      <c r="A15" s="2" t="inlineStr">
        <is>
          <t>Height Adder</t>
        </is>
      </c>
      <c r="B15" s="9">
        <f>Configurator!F6</f>
        <v/>
      </c>
    </row>
    <row r="16">
      <c r="A16" s="2" t="inlineStr">
        <is>
          <t>Transom Adder</t>
        </is>
      </c>
      <c r="B16" s="9">
        <f>Configurator!F7</f>
        <v/>
      </c>
    </row>
    <row r="17">
      <c r="A17" s="2" t="inlineStr">
        <is>
          <t>Finish Multiplier</t>
        </is>
      </c>
      <c r="B17">
        <f>Configurator!F9</f>
        <v/>
      </c>
    </row>
    <row r="18">
      <c r="A18" s="2" t="inlineStr">
        <is>
          <t>Pkg Subtotal (after finish)</t>
        </is>
      </c>
      <c r="B18" s="9">
        <f>Configurator!F10</f>
        <v/>
      </c>
    </row>
    <row r="19">
      <c r="A19" s="2" t="inlineStr">
        <is>
          <t>Glass Adder</t>
        </is>
      </c>
      <c r="B19" s="11">
        <f>Configurator!F11</f>
        <v/>
      </c>
      <c r="C19" s="2" t="inlineStr">
        <is>
          <t>Unit Price</t>
        </is>
      </c>
      <c r="D19" s="2" t="inlineStr">
        <is>
          <t>Ext</t>
        </is>
      </c>
    </row>
    <row r="20">
      <c r="A20" s="2" t="inlineStr">
        <is>
          <t>Frame Adder</t>
        </is>
      </c>
      <c r="B20" s="9">
        <f>Configurator!F12</f>
        <v/>
      </c>
      <c r="C20" s="9">
        <f>IF(Configurator!B13="Yes",Configurator!F13,"")</f>
        <v/>
      </c>
      <c r="D20" s="9">
        <f>IF(Configurator!B13="Yes",Configurator!G13,"")</f>
        <v/>
      </c>
    </row>
    <row r="21">
      <c r="A21" s="2" t="inlineStr">
        <is>
          <t>Package Total</t>
        </is>
      </c>
      <c r="B21" s="9">
        <f>Configurator!F13</f>
        <v/>
      </c>
      <c r="C21" s="9">
        <f>IF(Configurator!B14="Yes",Configurator!F14,"")</f>
        <v/>
      </c>
      <c r="D21" s="9">
        <f>IF(Configurator!B14="Yes",Configurator!G14,"")</f>
        <v/>
      </c>
    </row>
    <row r="22">
      <c r="A22">
        <f>IF(Configurator!B15="Yes",Configurator!D15,"")</f>
        <v/>
      </c>
      <c r="B22">
        <f>IF(Configurator!B15="Yes",Configurator!E15,"")</f>
        <v/>
      </c>
      <c r="C22" s="9">
        <f>IF(Configurator!B15="Yes",Configurator!F15,"")</f>
        <v/>
      </c>
      <c r="D22" s="9">
        <f>IF(Configurator!B15="Yes",Configurator!G15,"")</f>
        <v/>
      </c>
    </row>
    <row r="23">
      <c r="A23">
        <f>IF(Configurator!B16="Yes",Configurator!D16,"")</f>
        <v/>
      </c>
      <c r="B23">
        <f>IF(Configurator!B16="Yes",Configurator!E16,"")</f>
        <v/>
      </c>
      <c r="C23" s="9">
        <f>IF(Configurator!B16="Yes",Configurator!F16,"")</f>
        <v/>
      </c>
      <c r="D23" s="9">
        <f>IF(Configurator!B16="Yes",Configurator!G16,"")</f>
        <v/>
      </c>
    </row>
    <row r="24">
      <c r="A24">
        <f>IF(Configurator!B17="Yes",Configurator!D17,"")</f>
        <v/>
      </c>
      <c r="B24">
        <f>IF(Configurator!B17="Yes",Configurator!E17,"")</f>
        <v/>
      </c>
      <c r="C24" s="9">
        <f>IF(Configurator!B17="Yes",Configurator!F17,"")</f>
        <v/>
      </c>
      <c r="D24" s="9">
        <f>IF(Configurator!B17="Yes",Configurator!G17,"")</f>
        <v/>
      </c>
    </row>
    <row r="25">
      <c r="A25">
        <f>IF(Configurator!B18="Yes",Configurator!D18,"")</f>
        <v/>
      </c>
      <c r="B25">
        <f>IF(Configurator!B18="Yes",Configurator!E18,"")</f>
        <v/>
      </c>
      <c r="C25" s="9">
        <f>IF(Configurator!B18="Yes",Configurator!F18,"")</f>
        <v/>
      </c>
      <c r="D25" s="9">
        <f>IF(Configurator!B18="Yes",Configurator!G18,"")</f>
        <v/>
      </c>
    </row>
    <row r="26">
      <c r="A26">
        <f>IF(Configurator!B19="Yes",Configurator!D19,"")</f>
        <v/>
      </c>
      <c r="B26">
        <f>IF(Configurator!B19="Yes",Configurator!E19,"")</f>
        <v/>
      </c>
      <c r="C26" s="9">
        <f>IF(Configurator!B19="Yes",Configurator!F19,"")</f>
        <v/>
      </c>
      <c r="D26" s="9">
        <f>IF(Configurator!B19="Yes",Configurator!G19,"")</f>
        <v/>
      </c>
    </row>
    <row r="27">
      <c r="A27">
        <f>IF(Configurator!B20="Yes",Configurator!D20,"")</f>
        <v/>
      </c>
      <c r="B27">
        <f>IF(Configurator!B20="Yes",Configurator!E20,"")</f>
        <v/>
      </c>
      <c r="C27" s="9">
        <f>IF(Configurator!B20="Yes",Configurator!F20,"")</f>
        <v/>
      </c>
      <c r="D27" s="9">
        <f>IF(Configurator!B20="Yes",Configurator!G20,"")</f>
        <v/>
      </c>
    </row>
    <row r="28">
      <c r="A28" s="2" t="inlineStr">
        <is>
          <t>Add-ons Subtotal</t>
        </is>
      </c>
      <c r="B28" s="9">
        <f>Configurator!G22</f>
        <v/>
      </c>
      <c r="C28" s="9">
        <f>IF(Configurator!B21="Yes",Configurator!F21,"")</f>
        <v/>
      </c>
      <c r="D28" s="9">
        <f>IF(Configurator!B21="Yes",Configurator!G21,"")</f>
        <v/>
      </c>
    </row>
    <row r="29">
      <c r="A29" s="2" t="inlineStr">
        <is>
          <t>Subtotal</t>
        </is>
      </c>
      <c r="B29" s="9">
        <f>Configurator!F13+Configurator!G22</f>
        <v/>
      </c>
    </row>
    <row r="30">
      <c r="A30" s="2" t="inlineStr">
        <is>
          <t>Tax Rate</t>
        </is>
      </c>
      <c r="B30" s="9">
        <f>Configurator!G23</f>
        <v/>
      </c>
    </row>
    <row r="31">
      <c r="A31" s="2" t="inlineStr">
        <is>
          <t>Tax</t>
        </is>
      </c>
      <c r="B31" s="9">
        <f>Configurator!G26</f>
        <v/>
      </c>
    </row>
    <row r="32">
      <c r="A32" s="2" t="inlineStr">
        <is>
          <t>Freight</t>
        </is>
      </c>
      <c r="B32" s="9">
        <f>Configurator!G24</f>
        <v/>
      </c>
    </row>
    <row r="33">
      <c r="A33" s="6" t="inlineStr">
        <is>
          <t>Grand Total</t>
        </is>
      </c>
      <c r="B33" s="9">
        <f>Configurator!G27</f>
        <v/>
      </c>
    </row>
    <row r="34">
      <c r="A34" s="2" t="inlineStr">
        <is>
          <t>Freight</t>
        </is>
      </c>
      <c r="B34" s="9">
        <f>Configurator!G24</f>
        <v/>
      </c>
    </row>
    <row r="35">
      <c r="A35" s="6" t="inlineStr">
        <is>
          <t>Grand Total</t>
        </is>
      </c>
      <c r="B35" s="9">
        <f>Configurator!G27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D1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Finish</t>
        </is>
      </c>
      <c r="B1" s="2" t="inlineStr">
        <is>
          <t>Multiplier</t>
        </is>
      </c>
    </row>
    <row r="2">
      <c r="A2" t="inlineStr">
        <is>
          <t>SN (Satin Nickel)</t>
        </is>
      </c>
      <c r="B2" t="n">
        <v>1</v>
      </c>
    </row>
    <row r="3">
      <c r="A3" t="inlineStr">
        <is>
          <t>628 (Clear Anodized)</t>
        </is>
      </c>
      <c r="B3" t="n">
        <v>1</v>
      </c>
    </row>
    <row r="4">
      <c r="A4" t="inlineStr">
        <is>
          <t>689 (Aluminum Painted)</t>
        </is>
      </c>
      <c r="B4" t="n">
        <v>1.05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Glass Option</t>
        </is>
      </c>
      <c r="B1" s="2" t="inlineStr">
        <is>
          <t>Adder ($)</t>
        </is>
      </c>
    </row>
    <row r="2">
      <c r="A2" t="inlineStr">
        <is>
          <t>Standard Tempered</t>
        </is>
      </c>
      <c r="B2" t="n">
        <v>0</v>
      </c>
    </row>
    <row r="3">
      <c r="A3" t="inlineStr">
        <is>
          <t>Low-E Tempered</t>
        </is>
      </c>
      <c r="B3" t="n">
        <v>180</v>
      </c>
    </row>
    <row r="4">
      <c r="A4" t="inlineStr">
        <is>
          <t>Laminated</t>
        </is>
      </c>
      <c r="B4" t="n">
        <v>360</v>
      </c>
    </row>
    <row r="5">
      <c r="A5" t="inlineStr">
        <is>
          <t>IGU (Insulated)</t>
        </is>
      </c>
      <c r="B5" t="n">
        <v>540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 Kit</t>
        </is>
      </c>
      <c r="B1" s="2" t="inlineStr">
        <is>
          <t>Adder ($)</t>
        </is>
      </c>
    </row>
    <row r="2">
      <c r="A2" t="inlineStr">
        <is>
          <t>Standard Narrow Stile</t>
        </is>
      </c>
      <c r="B2" t="n">
        <v>0</v>
      </c>
    </row>
    <row r="3">
      <c r="A3" t="inlineStr">
        <is>
          <t>Medium Stile</t>
        </is>
      </c>
      <c r="B3" t="n">
        <v>250</v>
      </c>
    </row>
    <row r="4">
      <c r="A4" t="inlineStr">
        <is>
          <t>Heavy Stile</t>
        </is>
      </c>
      <c r="B4" t="n">
        <v>450</v>
      </c>
    </row>
    <row r="5">
      <c r="A5" t="inlineStr">
        <is>
          <t>All-Glass</t>
        </is>
      </c>
      <c r="B5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Dimension</t>
        </is>
      </c>
      <c r="B1" s="2" t="inlineStr">
        <is>
          <t>Key</t>
        </is>
      </c>
      <c r="C1" s="2" t="inlineStr">
        <is>
          <t>Multiplier</t>
        </is>
      </c>
    </row>
    <row r="2">
      <c r="A2" t="inlineStr">
        <is>
          <t>Finish</t>
        </is>
      </c>
      <c r="B2" t="inlineStr">
        <is>
          <t>SN (Satin Nickel)</t>
        </is>
      </c>
      <c r="C2" t="n">
        <v>1</v>
      </c>
    </row>
    <row r="3">
      <c r="A3" t="inlineStr">
        <is>
          <t>Finish</t>
        </is>
      </c>
      <c r="B3" t="inlineStr">
        <is>
          <t>628 (Clear Anodized)</t>
        </is>
      </c>
      <c r="C3" t="n">
        <v>1</v>
      </c>
    </row>
    <row r="4">
      <c r="A4" t="inlineStr">
        <is>
          <t>Finish</t>
        </is>
      </c>
      <c r="B4" t="inlineStr">
        <is>
          <t>689 (Aluminum Painted)</t>
        </is>
      </c>
      <c r="C4" t="n">
        <v>1.05</v>
      </c>
    </row>
    <row r="5">
      <c r="A5" t="inlineStr">
        <is>
          <t>Model</t>
        </is>
      </c>
      <c r="B5" t="inlineStr">
        <is>
          <t>ESA400</t>
        </is>
      </c>
      <c r="C5" t="n">
        <v>1.02</v>
      </c>
    </row>
    <row r="6">
      <c r="A6" t="inlineStr">
        <is>
          <t>Model</t>
        </is>
      </c>
      <c r="B6" t="inlineStr">
        <is>
          <t>ESA500</t>
        </is>
      </c>
      <c r="C6" t="n">
        <v>1.03</v>
      </c>
    </row>
    <row r="7">
      <c r="A7" t="inlineStr">
        <is>
          <t>Frame</t>
        </is>
      </c>
      <c r="B7" t="inlineStr">
        <is>
          <t>Medium Stile</t>
        </is>
      </c>
      <c r="C7" t="n">
        <v>1.03</v>
      </c>
    </row>
    <row r="8">
      <c r="A8" t="inlineStr">
        <is>
          <t>Frame</t>
        </is>
      </c>
      <c r="B8" t="inlineStr">
        <is>
          <t>Heavy Stile</t>
        </is>
      </c>
      <c r="C8" t="n">
        <v>1.05</v>
      </c>
    </row>
    <row r="9">
      <c r="A9" t="inlineStr">
        <is>
          <t>Frame</t>
        </is>
      </c>
      <c r="B9" t="inlineStr">
        <is>
          <t>All-Glass</t>
        </is>
      </c>
      <c r="C9" t="n">
        <v>1.07</v>
      </c>
    </row>
    <row r="10">
      <c r="A10" t="inlineStr">
        <is>
          <t>Glass</t>
        </is>
      </c>
      <c r="B10" t="inlineStr">
        <is>
          <t>Low-E Tempered</t>
        </is>
      </c>
      <c r="C10" t="n">
        <v>1.02</v>
      </c>
    </row>
    <row r="11">
      <c r="A11" t="inlineStr">
        <is>
          <t>Glass</t>
        </is>
      </c>
      <c r="B11" t="inlineStr">
        <is>
          <t>Laminated</t>
        </is>
      </c>
      <c r="C11" t="n">
        <v>1.04</v>
      </c>
    </row>
    <row r="12">
      <c r="A12" t="inlineStr">
        <is>
          <t>Glass</t>
        </is>
      </c>
      <c r="B12" t="inlineStr">
        <is>
          <t>IGU (Insulated)</t>
        </is>
      </c>
      <c r="C12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2025-10-16T22:08:33Z</dcterms:created>
  <dcterms:modified xmlns:dcterms="http://purl.org/dc/terms/" xmlns:xsi="http://www.w3.org/2001/XMLSchema-instance" xsi:type="dcterms:W3CDTF">2025-10-16T22:08:33Z</dcterms:modified>
</cp:coreProperties>
</file>